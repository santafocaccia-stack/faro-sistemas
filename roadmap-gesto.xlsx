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'Roadmap'!$A$4:$G$101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2410C"/>
      <sz val="18"/>
    </font>
    <font>
      <i val="1"/>
      <color rgb="0078716C"/>
      <sz val="10"/>
    </font>
    <font>
      <b val="1"/>
      <color rgb="00FFFFFF"/>
      <sz val="11"/>
    </font>
    <font>
      <b val="1"/>
    </font>
    <font>
      <b val="1"/>
      <color rgb="00C2410C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0DD"/>
      </left>
      <right style="thin">
        <color rgb="00E2E0DD"/>
      </right>
      <top style="thin">
        <color rgb="00E2E0DD"/>
      </top>
      <bottom style="thin">
        <color rgb="00E2E0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4" fillId="3" borderId="0" pivotButton="0" quotePrefix="0" xfId="0"/>
    <xf numFmtId="9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1" customWidth="1" min="4" max="4"/>
    <col width="13" customWidth="1" min="5" max="5"/>
    <col width="46" customWidth="1" min="6" max="6"/>
    <col width="13" customWidth="1" min="7" max="7"/>
  </cols>
  <sheetData>
    <row r="1" ht="30" customHeight="1">
      <c r="A1" s="1" t="inlineStr">
        <is>
          <t>Roadmap — Gesto (Faro Sistemas)</t>
        </is>
      </c>
    </row>
    <row r="2">
      <c r="A2" s="2" t="inlineStr">
        <is>
          <t>SaaS de gestión comercial multi-tenant · Actualizado 2026-06-22 · Editá la columna Estado y la fecha al cerrar cada tarea</t>
        </is>
      </c>
    </row>
    <row r="4" ht="22" customHeight="1">
      <c r="A4" s="3" t="inlineStr">
        <is>
          <t>ID</t>
        </is>
      </c>
      <c r="B4" s="3" t="inlineStr">
        <is>
          <t>Categoría</t>
        </is>
      </c>
      <c r="C4" s="3" t="inlineStr">
        <is>
          <t>Tarea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Notas</t>
        </is>
      </c>
      <c r="G4" s="3" t="inlineStr">
        <is>
          <t>Actualizado</t>
        </is>
      </c>
    </row>
    <row r="5">
      <c r="A5" s="4" t="n">
        <v>1</v>
      </c>
      <c r="B5" s="5" t="inlineStr">
        <is>
          <t>Infraestructura</t>
        </is>
      </c>
      <c r="C5" s="6" t="inlineStr">
        <is>
          <t>Stack Next.js 16 App Router + TypeScript strict + Turbopack</t>
        </is>
      </c>
      <c r="D5" s="4" t="inlineStr">
        <is>
          <t>—</t>
        </is>
      </c>
      <c r="E5" s="7" t="inlineStr">
        <is>
          <t>Hecho</t>
        </is>
      </c>
      <c r="F5" s="6" t="inlineStr"/>
      <c r="G5" s="5" t="inlineStr">
        <is>
          <t>2026-06-22</t>
        </is>
      </c>
    </row>
    <row r="6">
      <c r="A6" s="4" t="n">
        <v>2</v>
      </c>
      <c r="B6" s="5" t="inlineStr">
        <is>
          <t>Infraestructura</t>
        </is>
      </c>
      <c r="C6" s="6" t="inlineStr">
        <is>
          <t>Tailwind v4 + shadcn/ui + Design System Brasas</t>
        </is>
      </c>
      <c r="D6" s="4" t="inlineStr">
        <is>
          <t>—</t>
        </is>
      </c>
      <c r="E6" s="7" t="inlineStr">
        <is>
          <t>Hecho</t>
        </is>
      </c>
      <c r="F6" s="6" t="inlineStr"/>
      <c r="G6" s="5" t="inlineStr">
        <is>
          <t>2026-06-22</t>
        </is>
      </c>
    </row>
    <row r="7">
      <c r="A7" s="4" t="n">
        <v>3</v>
      </c>
      <c r="B7" s="5" t="inlineStr">
        <is>
          <t>Infraestructura</t>
        </is>
      </c>
      <c r="C7" s="6" t="inlineStr">
        <is>
          <t>Drizzle ORM + Supabase Postgres</t>
        </is>
      </c>
      <c r="D7" s="4" t="inlineStr">
        <is>
          <t>—</t>
        </is>
      </c>
      <c r="E7" s="7" t="inlineStr">
        <is>
          <t>Hecho</t>
        </is>
      </c>
      <c r="F7" s="6" t="inlineStr"/>
      <c r="G7" s="5" t="inlineStr">
        <is>
          <t>2026-06-22</t>
        </is>
      </c>
    </row>
    <row r="8">
      <c r="A8" s="4" t="n">
        <v>4</v>
      </c>
      <c r="B8" s="5" t="inlineStr">
        <is>
          <t>Infraestructura</t>
        </is>
      </c>
      <c r="C8" s="6" t="inlineStr">
        <is>
          <t>Supabase Auth SSR + middleware de sesión</t>
        </is>
      </c>
      <c r="D8" s="4" t="inlineStr">
        <is>
          <t>—</t>
        </is>
      </c>
      <c r="E8" s="7" t="inlineStr">
        <is>
          <t>Hecho</t>
        </is>
      </c>
      <c r="F8" s="6" t="inlineStr"/>
      <c r="G8" s="5" t="inlineStr">
        <is>
          <t>2026-06-22</t>
        </is>
      </c>
    </row>
    <row r="9">
      <c r="A9" s="4" t="n">
        <v>5</v>
      </c>
      <c r="B9" s="5" t="inlineStr">
        <is>
          <t>Infraestructura</t>
        </is>
      </c>
      <c r="C9" s="6" t="inlineStr">
        <is>
          <t>Framer Motion + command palette (cmdk)</t>
        </is>
      </c>
      <c r="D9" s="4" t="inlineStr">
        <is>
          <t>—</t>
        </is>
      </c>
      <c r="E9" s="7" t="inlineStr">
        <is>
          <t>Hecho</t>
        </is>
      </c>
      <c r="F9" s="6" t="inlineStr"/>
      <c r="G9" s="5" t="inlineStr">
        <is>
          <t>2026-06-22</t>
        </is>
      </c>
    </row>
    <row r="10">
      <c r="A10" s="4" t="n">
        <v>6</v>
      </c>
      <c r="B10" s="5" t="inlineStr">
        <is>
          <t>Base de datos</t>
        </is>
      </c>
      <c r="C10" s="6" t="inlineStr">
        <is>
          <t>Schema multi-tenant (tenants, users, productos, clientes, ventas, pagos, CC)</t>
        </is>
      </c>
      <c r="D10" s="4" t="inlineStr">
        <is>
          <t>—</t>
        </is>
      </c>
      <c r="E10" s="7" t="inlineStr">
        <is>
          <t>Hecho</t>
        </is>
      </c>
      <c r="F10" s="6" t="inlineStr">
        <is>
          <t>10 tablas (+ presupuestos)</t>
        </is>
      </c>
      <c r="G10" s="5" t="inlineStr">
        <is>
          <t>2026-06-22</t>
        </is>
      </c>
    </row>
    <row r="11">
      <c r="A11" s="4" t="n">
        <v>7</v>
      </c>
      <c r="B11" s="5" t="inlineStr">
        <is>
          <t>Base de datos</t>
        </is>
      </c>
      <c r="C11" s="6" t="inlineStr">
        <is>
          <t>Migraciones aplicadas en Supabase</t>
        </is>
      </c>
      <c r="D11" s="4" t="inlineStr">
        <is>
          <t>—</t>
        </is>
      </c>
      <c r="E11" s="7" t="inlineStr">
        <is>
          <t>Hecho</t>
        </is>
      </c>
      <c r="F11" s="6" t="inlineStr"/>
      <c r="G11" s="5" t="inlineStr">
        <is>
          <t>2026-06-22</t>
        </is>
      </c>
    </row>
    <row r="12">
      <c r="A12" s="4" t="n">
        <v>8</v>
      </c>
      <c r="B12" s="5" t="inlineStr">
        <is>
          <t>Base de datos</t>
        </is>
      </c>
      <c r="C12" s="6" t="inlineStr">
        <is>
          <t>RLS multi-tenant (16 políticas, script defensivo)</t>
        </is>
      </c>
      <c r="D12" s="4" t="inlineStr">
        <is>
          <t>—</t>
        </is>
      </c>
      <c r="E12" s="7" t="inlineStr">
        <is>
          <t>Hecho</t>
        </is>
      </c>
      <c r="F12" s="6" t="inlineStr">
        <is>
          <t>byTenant() + RLS como red de seguridad</t>
        </is>
      </c>
      <c r="G12" s="5" t="inlineStr">
        <is>
          <t>2026-06-22</t>
        </is>
      </c>
    </row>
    <row r="13">
      <c r="A13" s="4" t="n">
        <v>9</v>
      </c>
      <c r="B13" s="5" t="inlineStr">
        <is>
          <t>Auth</t>
        </is>
      </c>
      <c r="C13" s="6" t="inlineStr">
        <is>
          <t>Login / Signup / Onboarding (crear tenant)</t>
        </is>
      </c>
      <c r="D13" s="4" t="inlineStr">
        <is>
          <t>—</t>
        </is>
      </c>
      <c r="E13" s="7" t="inlineStr">
        <is>
          <t>Hecho</t>
        </is>
      </c>
      <c r="F13" s="6" t="inlineStr"/>
      <c r="G13" s="5" t="inlineStr">
        <is>
          <t>2026-06-22</t>
        </is>
      </c>
    </row>
    <row r="14">
      <c r="A14" s="4" t="n">
        <v>10</v>
      </c>
      <c r="B14" s="5" t="inlineStr">
        <is>
          <t>Auth</t>
        </is>
      </c>
      <c r="C14" s="6" t="inlineStr">
        <is>
          <t>Recuperar contraseña (forgot + reset)</t>
        </is>
      </c>
      <c r="D14" s="4" t="inlineStr">
        <is>
          <t>—</t>
        </is>
      </c>
      <c r="E14" s="7" t="inlineStr">
        <is>
          <t>Hecho</t>
        </is>
      </c>
      <c r="F14" s="6" t="inlineStr"/>
      <c r="G14" s="5" t="inlineStr">
        <is>
          <t>2026-06-22</t>
        </is>
      </c>
    </row>
    <row r="15">
      <c r="A15" s="4" t="n">
        <v>11</v>
      </c>
      <c r="B15" s="5" t="inlineStr">
        <is>
          <t>Auth</t>
        </is>
      </c>
      <c r="C15" s="6" t="inlineStr">
        <is>
          <t>Auth callback PKCE + token_hash</t>
        </is>
      </c>
      <c r="D15" s="4" t="inlineStr">
        <is>
          <t>—</t>
        </is>
      </c>
      <c r="E15" s="7" t="inlineStr">
        <is>
          <t>Hecho</t>
        </is>
      </c>
      <c r="F15" s="6" t="inlineStr"/>
      <c r="G15" s="5" t="inlineStr">
        <is>
          <t>2026-06-22</t>
        </is>
      </c>
    </row>
    <row r="16">
      <c r="A16" s="4" t="n">
        <v>12</v>
      </c>
      <c r="B16" s="5" t="inlineStr">
        <is>
          <t>Productos</t>
        </is>
      </c>
      <c r="C16" s="6" t="inlineStr">
        <is>
          <t>CRUD productos (stock kg/unidad, precios may/min)</t>
        </is>
      </c>
      <c r="D16" s="4" t="inlineStr">
        <is>
          <t>—</t>
        </is>
      </c>
      <c r="E16" s="7" t="inlineStr">
        <is>
          <t>Hecho</t>
        </is>
      </c>
      <c r="F16" s="6" t="inlineStr">
        <is>
          <t>Title Case, inputs vacíos no 0</t>
        </is>
      </c>
      <c r="G16" s="5" t="inlineStr">
        <is>
          <t>2026-06-22</t>
        </is>
      </c>
    </row>
    <row r="17">
      <c r="A17" s="4" t="n">
        <v>13</v>
      </c>
      <c r="B17" s="5" t="inlineStr">
        <is>
          <t>Productos</t>
        </is>
      </c>
      <c r="C17" s="6" t="inlineStr">
        <is>
          <t>Carga rápida (scan → nombre → precio → siguiente)</t>
        </is>
      </c>
      <c r="D17" s="4" t="inlineStr">
        <is>
          <t>—</t>
        </is>
      </c>
      <c r="E17" s="7" t="inlineStr">
        <is>
          <t>Hecho</t>
        </is>
      </c>
      <c r="F17" s="6" t="inlineStr">
        <is>
          <t>/productos/carga-rapida</t>
        </is>
      </c>
      <c r="G17" s="5" t="inlineStr">
        <is>
          <t>2026-06-22</t>
        </is>
      </c>
    </row>
    <row r="18">
      <c r="A18" s="4" t="n">
        <v>14</v>
      </c>
      <c r="B18" s="5" t="inlineStr">
        <is>
          <t>Productos</t>
        </is>
      </c>
      <c r="C18" s="6" t="inlineStr">
        <is>
          <t>Importación CSV con preview y validación</t>
        </is>
      </c>
      <c r="D18" s="4" t="inlineStr">
        <is>
          <t>—</t>
        </is>
      </c>
      <c r="E18" s="7" t="inlineStr">
        <is>
          <t>Hecho</t>
        </is>
      </c>
      <c r="F18" s="6" t="inlineStr">
        <is>
          <t>lotes de 100, crea categorías</t>
        </is>
      </c>
      <c r="G18" s="5" t="inlineStr">
        <is>
          <t>2026-06-22</t>
        </is>
      </c>
    </row>
    <row r="19">
      <c r="A19" s="4" t="n">
        <v>15</v>
      </c>
      <c r="B19" s="5" t="inlineStr">
        <is>
          <t>Productos</t>
        </is>
      </c>
      <c r="C19" s="6" t="inlineStr">
        <is>
          <t>Categorías (CRUD + filtro en lista y POS)</t>
        </is>
      </c>
      <c r="D19" s="4" t="inlineStr">
        <is>
          <t>—</t>
        </is>
      </c>
      <c r="E19" s="7" t="inlineStr">
        <is>
          <t>Hecho</t>
        </is>
      </c>
      <c r="F19" s="6" t="inlineStr"/>
      <c r="G19" s="5" t="inlineStr">
        <is>
          <t>2026-06-22</t>
        </is>
      </c>
    </row>
    <row r="20">
      <c r="A20" s="4" t="n">
        <v>16</v>
      </c>
      <c r="B20" s="5" t="inlineStr">
        <is>
          <t>Productos</t>
        </is>
      </c>
      <c r="C20" s="6" t="inlineStr">
        <is>
          <t>Grupos de variantes + sugerencia asistida</t>
        </is>
      </c>
      <c r="D20" s="4" t="inlineStr">
        <is>
          <t>—</t>
        </is>
      </c>
      <c r="E20" s="7" t="inlineStr">
        <is>
          <t>Hecho</t>
        </is>
      </c>
      <c r="F20" s="6" t="inlineStr"/>
      <c r="G20" s="5" t="inlineStr">
        <is>
          <t>2026-06-22</t>
        </is>
      </c>
    </row>
    <row r="21">
      <c r="A21" s="4" t="n">
        <v>17</v>
      </c>
      <c r="B21" s="5" t="inlineStr">
        <is>
          <t>Productos</t>
        </is>
      </c>
      <c r="C21" s="6" t="inlineStr">
        <is>
          <t>Código PLU (plan balanza)</t>
        </is>
      </c>
      <c r="D21" s="4" t="inlineStr">
        <is>
          <t>—</t>
        </is>
      </c>
      <c r="E21" s="7" t="inlineStr">
        <is>
          <t>Hecho</t>
        </is>
      </c>
      <c r="F21" s="6" t="inlineStr"/>
      <c r="G21" s="5" t="inlineStr">
        <is>
          <t>2026-06-22</t>
        </is>
      </c>
    </row>
    <row r="22">
      <c r="A22" s="4" t="n">
        <v>18</v>
      </c>
      <c r="B22" s="5" t="inlineStr">
        <is>
          <t>Productos</t>
        </is>
      </c>
      <c r="C22" s="6" t="inlineStr">
        <is>
          <t>Precios vivos (anti-inflación: margen + actualización masiva)</t>
        </is>
      </c>
      <c r="D22" s="4" t="inlineStr">
        <is>
          <t>Alta</t>
        </is>
      </c>
      <c r="E22" s="7" t="inlineStr">
        <is>
          <t>En progreso</t>
        </is>
      </c>
      <c r="F22" s="6" t="inlineStr">
        <is>
          <t>Falta QA en vivo los 3 planes; ver docs/context/precios.md</t>
        </is>
      </c>
      <c r="G22" s="5" t="inlineStr">
        <is>
          <t>2026-06-22</t>
        </is>
      </c>
    </row>
    <row r="23">
      <c r="A23" s="4" t="n">
        <v>19</v>
      </c>
      <c r="B23" s="5" t="inlineStr">
        <is>
          <t>Productos</t>
        </is>
      </c>
      <c r="C23" s="6" t="inlineStr">
        <is>
          <t>Alertas de stock bajo (banner/email cuando stock ≤ mínimo)</t>
        </is>
      </c>
      <c r="D23" s="4" t="inlineStr">
        <is>
          <t>Media</t>
        </is>
      </c>
      <c r="E23" s="7" t="inlineStr">
        <is>
          <t>Pendiente</t>
        </is>
      </c>
      <c r="F23" s="6" t="inlineStr">
        <is>
          <t>El campo existe, no dispara nada</t>
        </is>
      </c>
      <c r="G23" s="5" t="inlineStr">
        <is>
          <t>2026-06-22</t>
        </is>
      </c>
    </row>
    <row r="24">
      <c r="A24" s="4" t="n">
        <v>20</v>
      </c>
      <c r="B24" s="5" t="inlineStr">
        <is>
          <t>Productos</t>
        </is>
      </c>
      <c r="C24" s="6" t="inlineStr">
        <is>
          <t>Precios especiales por cliente</t>
        </is>
      </c>
      <c r="D24" s="4" t="inlineStr">
        <is>
          <t>Media</t>
        </is>
      </c>
      <c r="E24" s="7" t="inlineStr">
        <is>
          <t>Pendiente</t>
        </is>
      </c>
      <c r="F24" s="6" t="inlineStr">
        <is>
          <t>Mayoristas con acuerdos puntuales</t>
        </is>
      </c>
      <c r="G24" s="5" t="inlineStr">
        <is>
          <t>2026-06-22</t>
        </is>
      </c>
    </row>
    <row r="25">
      <c r="A25" s="4" t="n">
        <v>21</v>
      </c>
      <c r="B25" s="5" t="inlineStr">
        <is>
          <t>Clientes</t>
        </is>
      </c>
      <c r="C25" s="6" t="inlineStr">
        <is>
          <t>CRUD clientes + ficha con saldo CC</t>
        </is>
      </c>
      <c r="D25" s="4" t="inlineStr">
        <is>
          <t>—</t>
        </is>
      </c>
      <c r="E25" s="7" t="inlineStr">
        <is>
          <t>Hecho</t>
        </is>
      </c>
      <c r="F25" s="6" t="inlineStr">
        <is>
          <t>tipo, condición IVA, descuento</t>
        </is>
      </c>
      <c r="G25" s="5" t="inlineStr">
        <is>
          <t>2026-06-22</t>
        </is>
      </c>
    </row>
    <row r="26">
      <c r="A26" s="4" t="n">
        <v>22</v>
      </c>
      <c r="B26" s="5" t="inlineStr">
        <is>
          <t>Ventas / POS</t>
        </is>
      </c>
      <c r="C26" s="6" t="inlineStr">
        <is>
          <t>POS unificado mayorista + minorista (carrito Zustand)</t>
        </is>
      </c>
      <c r="D26" s="4" t="inlineStr">
        <is>
          <t>—</t>
        </is>
      </c>
      <c r="E26" s="7" t="inlineStr">
        <is>
          <t>Hecho</t>
        </is>
      </c>
      <c r="F26" s="6" t="inlineStr">
        <is>
          <t>split-screen</t>
        </is>
      </c>
      <c r="G26" s="5" t="inlineStr">
        <is>
          <t>2026-06-22</t>
        </is>
      </c>
    </row>
    <row r="27">
      <c r="A27" s="4" t="n">
        <v>23</v>
      </c>
      <c r="B27" s="5" t="inlineStr">
        <is>
          <t>Ventas / POS</t>
        </is>
      </c>
      <c r="C27" s="6" t="inlineStr">
        <is>
          <t>Scanner de código de barras (ZXing, cámara real)</t>
        </is>
      </c>
      <c r="D27" s="4" t="inlineStr">
        <is>
          <t>—</t>
        </is>
      </c>
      <c r="E27" s="7" t="inlineStr">
        <is>
          <t>Hecho</t>
        </is>
      </c>
      <c r="F27" s="6" t="inlineStr"/>
      <c r="G27" s="5" t="inlineStr">
        <is>
          <t>2026-06-22</t>
        </is>
      </c>
    </row>
    <row r="28">
      <c r="A28" s="4" t="n">
        <v>24</v>
      </c>
      <c r="B28" s="5" t="inlineStr">
        <is>
          <t>Ventas / POS</t>
        </is>
      </c>
      <c r="C28" s="6" t="inlineStr">
        <is>
          <t>Métodos de pago (efectivo, transf, tarjeta, MP, cuenta corriente)</t>
        </is>
      </c>
      <c r="D28" s="4" t="inlineStr">
        <is>
          <t>—</t>
        </is>
      </c>
      <c r="E28" s="7" t="inlineStr">
        <is>
          <t>Hecho</t>
        </is>
      </c>
      <c r="F28" s="6" t="inlineStr"/>
      <c r="G28" s="5" t="inlineStr">
        <is>
          <t>2026-06-22</t>
        </is>
      </c>
    </row>
    <row r="29">
      <c r="A29" s="4" t="n">
        <v>25</v>
      </c>
      <c r="B29" s="5" t="inlineStr">
        <is>
          <t>Ventas / POS</t>
        </is>
      </c>
      <c r="C29" s="6" t="inlineStr">
        <is>
          <t>Ticket 80mm + Remito A4 PDF (compartir / descargar)</t>
        </is>
      </c>
      <c r="D29" s="4" t="inlineStr">
        <is>
          <t>—</t>
        </is>
      </c>
      <c r="E29" s="7" t="inlineStr">
        <is>
          <t>Hecho</t>
        </is>
      </c>
      <c r="F29" s="6" t="inlineStr">
        <is>
          <t>@react-pdf/renderer</t>
        </is>
      </c>
      <c r="G29" s="5" t="inlineStr">
        <is>
          <t>2026-06-22</t>
        </is>
      </c>
    </row>
    <row r="30">
      <c r="A30" s="4" t="n">
        <v>26</v>
      </c>
      <c r="B30" s="5" t="inlineStr">
        <is>
          <t>Ventas / POS</t>
        </is>
      </c>
      <c r="C30" s="6" t="inlineStr">
        <is>
          <t>Atajos de teclado (F2 cobrar, Esc, Supr)</t>
        </is>
      </c>
      <c r="D30" s="4" t="inlineStr">
        <is>
          <t>—</t>
        </is>
      </c>
      <c r="E30" s="7" t="inlineStr">
        <is>
          <t>Hecho</t>
        </is>
      </c>
      <c r="F30" s="6" t="inlineStr"/>
      <c r="G30" s="5" t="inlineStr">
        <is>
          <t>2026-06-22</t>
        </is>
      </c>
    </row>
    <row r="31">
      <c r="A31" s="4" t="n">
        <v>27</v>
      </c>
      <c r="B31" s="5" t="inlineStr">
        <is>
          <t>Ventas / POS</t>
        </is>
      </c>
      <c r="C31" s="6" t="inlineStr">
        <is>
          <t>Historial + detalle de venta (filtro por período)</t>
        </is>
      </c>
      <c r="D31" s="4" t="inlineStr">
        <is>
          <t>—</t>
        </is>
      </c>
      <c r="E31" s="7" t="inlineStr">
        <is>
          <t>Hecho</t>
        </is>
      </c>
      <c r="F31" s="6" t="inlineStr"/>
      <c r="G31" s="5" t="inlineStr">
        <is>
          <t>2026-06-22</t>
        </is>
      </c>
    </row>
    <row r="32">
      <c r="A32" s="4" t="n">
        <v>28</v>
      </c>
      <c r="B32" s="5" t="inlineStr">
        <is>
          <t>Ventas / POS</t>
        </is>
      </c>
      <c r="C32" s="6" t="inlineStr">
        <is>
          <t>Descuentos en POS (% o $ por total)</t>
        </is>
      </c>
      <c r="D32" s="4" t="inlineStr">
        <is>
          <t>Media</t>
        </is>
      </c>
      <c r="E32" s="7" t="inlineStr">
        <is>
          <t>Pendiente</t>
        </is>
      </c>
      <c r="F32" s="6" t="inlineStr">
        <is>
          <t>Muy pedido en kioscos/carnicerías</t>
        </is>
      </c>
      <c r="G32" s="5" t="inlineStr">
        <is>
          <t>2026-06-22</t>
        </is>
      </c>
    </row>
    <row r="33">
      <c r="A33" s="4" t="n">
        <v>29</v>
      </c>
      <c r="B33" s="5" t="inlineStr">
        <is>
          <t>Ventas / POS</t>
        </is>
      </c>
      <c r="C33" s="6" t="inlineStr">
        <is>
          <t>Devoluciones / notas de crédito (reversar venta + ajuste stock)</t>
        </is>
      </c>
      <c r="D33" s="4" t="inlineStr">
        <is>
          <t>Media</t>
        </is>
      </c>
      <c r="E33" s="7" t="inlineStr">
        <is>
          <t>Pendiente</t>
        </is>
      </c>
      <c r="F33" s="6" t="inlineStr">
        <is>
          <t>Reversión de CC ya está hecha</t>
        </is>
      </c>
      <c r="G33" s="5" t="inlineStr">
        <is>
          <t>2026-06-22</t>
        </is>
      </c>
    </row>
    <row r="34">
      <c r="A34" s="4" t="n">
        <v>30</v>
      </c>
      <c r="B34" s="5" t="inlineStr">
        <is>
          <t>Ventas / POS</t>
        </is>
      </c>
      <c r="C34" s="6" t="inlineStr">
        <is>
          <t>Lector de códigos USB en POS desktop (Enter agrega el producto escaneado)</t>
        </is>
      </c>
      <c r="D34" s="4" t="inlineStr">
        <is>
          <t>—</t>
        </is>
      </c>
      <c r="E34" s="7" t="inlineStr">
        <is>
          <t>Hecho</t>
        </is>
      </c>
      <c r="F34" s="6" t="inlineStr">
        <is>
          <t>Minorista + mayorista; el lector tipo supermercado escribe el código y Enter lo suma al carrito</t>
        </is>
      </c>
      <c r="G34" s="5" t="inlineStr">
        <is>
          <t>2026-06-22</t>
        </is>
      </c>
    </row>
    <row r="35">
      <c r="A35" s="4" t="n">
        <v>31</v>
      </c>
      <c r="B35" s="5" t="inlineStr">
        <is>
          <t>Cuenta Corriente</t>
        </is>
      </c>
      <c r="C35" s="6" t="inlineStr">
        <is>
          <t>Movimientos + registrar pago + saldo en tiempo real</t>
        </is>
      </c>
      <c r="D35" s="4" t="inlineStr">
        <is>
          <t>—</t>
        </is>
      </c>
      <c r="E35" s="7" t="inlineStr">
        <is>
          <t>Hecho</t>
        </is>
      </c>
      <c r="F35" s="6" t="inlineStr">
        <is>
          <t>registrarPago atómico FOR UPDATE</t>
        </is>
      </c>
      <c r="G35" s="5" t="inlineStr">
        <is>
          <t>2026-06-22</t>
        </is>
      </c>
    </row>
    <row r="36">
      <c r="A36" s="4" t="n">
        <v>32</v>
      </c>
      <c r="B36" s="5" t="inlineStr">
        <is>
          <t>Cuenta Corriente</t>
        </is>
      </c>
      <c r="C36" s="6" t="inlineStr">
        <is>
          <t>Reversión de movimientos (transacción atómica)</t>
        </is>
      </c>
      <c r="D36" s="4" t="inlineStr">
        <is>
          <t>—</t>
        </is>
      </c>
      <c r="E36" s="7" t="inlineStr">
        <is>
          <t>Hecho</t>
        </is>
      </c>
      <c r="F36" s="6" t="inlineStr">
        <is>
          <t>motivo obligatorio</t>
        </is>
      </c>
      <c r="G36" s="5" t="inlineStr">
        <is>
          <t>2026-06-22</t>
        </is>
      </c>
    </row>
    <row r="37">
      <c r="A37" s="4" t="n">
        <v>33</v>
      </c>
      <c r="B37" s="5" t="inlineStr">
        <is>
          <t>Reportes</t>
        </is>
      </c>
      <c r="C37" s="6" t="inlineStr">
        <is>
          <t>KPIs por período + ranking top productos + métodos de pago</t>
        </is>
      </c>
      <c r="D37" s="4" t="inlineStr">
        <is>
          <t>—</t>
        </is>
      </c>
      <c r="E37" s="7" t="inlineStr">
        <is>
          <t>Hecho</t>
        </is>
      </c>
      <c r="F37" s="6" t="inlineStr">
        <is>
          <t>ventana de tiempo unificada</t>
        </is>
      </c>
      <c r="G37" s="5" t="inlineStr">
        <is>
          <t>2026-06-22</t>
        </is>
      </c>
    </row>
    <row r="38">
      <c r="A38" s="4" t="n">
        <v>34</v>
      </c>
      <c r="B38" s="5" t="inlineStr">
        <is>
          <t>Reportes</t>
        </is>
      </c>
      <c r="C38" s="6" t="inlineStr">
        <is>
          <t>Exportar a CSV</t>
        </is>
      </c>
      <c r="D38" s="4" t="inlineStr">
        <is>
          <t>—</t>
        </is>
      </c>
      <c r="E38" s="7" t="inlineStr">
        <is>
          <t>Hecho</t>
        </is>
      </c>
      <c r="F38" s="6" t="inlineStr"/>
      <c r="G38" s="5" t="inlineStr">
        <is>
          <t>2026-06-22</t>
        </is>
      </c>
    </row>
    <row r="39">
      <c r="A39" s="4" t="n">
        <v>35</v>
      </c>
      <c r="B39" s="5" t="inlineStr">
        <is>
          <t>Presupuestos</t>
        </is>
      </c>
      <c r="C39" s="6" t="inlineStr">
        <is>
          <t>CRUD + PDF + estados + numeración atómica</t>
        </is>
      </c>
      <c r="D39" s="4" t="inlineStr">
        <is>
          <t>—</t>
        </is>
      </c>
      <c r="E39" s="7" t="inlineStr">
        <is>
          <t>Hecho</t>
        </is>
      </c>
      <c r="F39" s="6" t="inlineStr">
        <is>
          <t>db.transaction</t>
        </is>
      </c>
      <c r="G39" s="5" t="inlineStr">
        <is>
          <t>2026-06-22</t>
        </is>
      </c>
    </row>
    <row r="40">
      <c r="A40" s="4" t="n">
        <v>36</v>
      </c>
      <c r="B40" s="5" t="inlineStr">
        <is>
          <t>Presupuestos</t>
        </is>
      </c>
      <c r="C40" s="6" t="inlineStr">
        <is>
          <t>Plantillas de servicios (guardar/listar/usar)</t>
        </is>
      </c>
      <c r="D40" s="4" t="inlineStr">
        <is>
          <t>—</t>
        </is>
      </c>
      <c r="E40" s="7" t="inlineStr">
        <is>
          <t>Hecho</t>
        </is>
      </c>
      <c r="F40" s="6" t="inlineStr"/>
      <c r="G40" s="5" t="inlineStr">
        <is>
          <t>2026-06-22</t>
        </is>
      </c>
    </row>
    <row r="41">
      <c r="A41" s="4" t="n">
        <v>37</v>
      </c>
      <c r="B41" s="5" t="inlineStr">
        <is>
          <t>Proveedores / Pedidos</t>
        </is>
      </c>
      <c r="C41" s="6" t="inlineStr">
        <is>
          <t>CRUD proveedores (markup, selector de país)</t>
        </is>
      </c>
      <c r="D41" s="4" t="inlineStr">
        <is>
          <t>—</t>
        </is>
      </c>
      <c r="E41" s="7" t="inlineStr">
        <is>
          <t>Hecho</t>
        </is>
      </c>
      <c r="F41" s="6" t="inlineStr"/>
      <c r="G41" s="5" t="inlineStr">
        <is>
          <t>2026-06-22</t>
        </is>
      </c>
    </row>
    <row r="42">
      <c r="A42" s="4" t="n">
        <v>38</v>
      </c>
      <c r="B42" s="5" t="inlineStr">
        <is>
          <t>Proveedores / Pedidos</t>
        </is>
      </c>
      <c r="C42" s="6" t="inlineStr">
        <is>
          <t>Pedidos a proveedor (WhatsApp + recepción con ajuste de stock)</t>
        </is>
      </c>
      <c r="D42" s="4" t="inlineStr">
        <is>
          <t>—</t>
        </is>
      </c>
      <c r="E42" s="7" t="inlineStr">
        <is>
          <t>Hecho</t>
        </is>
      </c>
      <c r="F42" s="6" t="inlineStr"/>
      <c r="G42" s="5" t="inlineStr">
        <is>
          <t>2026-06-22</t>
        </is>
      </c>
    </row>
    <row r="43">
      <c r="A43" s="4" t="n">
        <v>39</v>
      </c>
      <c r="B43" s="5" t="inlineStr">
        <is>
          <t>Configuración / Equipo</t>
        </is>
      </c>
      <c r="C43" s="6" t="inlineStr">
        <is>
          <t>Datos fiscales + canales + conectar/desconectar Mercado Pago</t>
        </is>
      </c>
      <c r="D43" s="4" t="inlineStr">
        <is>
          <t>—</t>
        </is>
      </c>
      <c r="E43" s="7" t="inlineStr">
        <is>
          <t>Hecho</t>
        </is>
      </c>
      <c r="F43" s="6" t="inlineStr"/>
      <c r="G43" s="5" t="inlineStr">
        <is>
          <t>2026-06-22</t>
        </is>
      </c>
    </row>
    <row r="44">
      <c r="A44" s="4" t="n">
        <v>40</v>
      </c>
      <c r="B44" s="5" t="inlineStr">
        <is>
          <t>Configuración / Equipo</t>
        </is>
      </c>
      <c r="C44" s="6" t="inlineStr">
        <is>
          <t>Equipo: invitar por email, editar rol, eliminar</t>
        </is>
      </c>
      <c r="D44" s="4" t="inlineStr">
        <is>
          <t>—</t>
        </is>
      </c>
      <c r="E44" s="7" t="inlineStr">
        <is>
          <t>Hecho</t>
        </is>
      </c>
      <c r="F44" s="6" t="inlineStr"/>
      <c r="G44" s="5" t="inlineStr">
        <is>
          <t>2026-06-22</t>
        </is>
      </c>
    </row>
    <row r="45">
      <c r="A45" s="4" t="n">
        <v>41</v>
      </c>
      <c r="B45" s="5" t="inlineStr">
        <is>
          <t>Configuración / Equipo</t>
        </is>
      </c>
      <c r="C45" s="6" t="inlineStr">
        <is>
          <t>Control de acceso por rol (requireAdmin, route group)</t>
        </is>
      </c>
      <c r="D45" s="4" t="inlineStr">
        <is>
          <t>—</t>
        </is>
      </c>
      <c r="E45" s="7" t="inlineStr">
        <is>
          <t>Hecho</t>
        </is>
      </c>
      <c r="F45" s="6" t="inlineStr">
        <is>
          <t>empleado solo POS+Historial+Productos</t>
        </is>
      </c>
      <c r="G45" s="5" t="inlineStr">
        <is>
          <t>2026-06-22</t>
        </is>
      </c>
    </row>
    <row r="46">
      <c r="A46" s="4" t="n">
        <v>42</v>
      </c>
      <c r="B46" s="5" t="inlineStr">
        <is>
          <t>UX / Diseño</t>
        </is>
      </c>
      <c r="C46" s="6" t="inlineStr">
        <is>
          <t>Design System Brasas v2 (paleta cálida + grain + gradientes)</t>
        </is>
      </c>
      <c r="D46" s="4" t="inlineStr">
        <is>
          <t>—</t>
        </is>
      </c>
      <c r="E46" s="7" t="inlineStr">
        <is>
          <t>Hecho</t>
        </is>
      </c>
      <c r="F46" s="6" t="inlineStr"/>
      <c r="G46" s="5" t="inlineStr">
        <is>
          <t>2026-06-22</t>
        </is>
      </c>
    </row>
    <row r="47">
      <c r="A47" s="4" t="n">
        <v>43</v>
      </c>
      <c r="B47" s="5" t="inlineStr">
        <is>
          <t>UX / Diseño</t>
        </is>
      </c>
      <c r="C47" s="6" t="inlineStr">
        <is>
          <t>Sidebar + mobile bottom nav con FAB Vender</t>
        </is>
      </c>
      <c r="D47" s="4" t="inlineStr">
        <is>
          <t>—</t>
        </is>
      </c>
      <c r="E47" s="7" t="inlineStr">
        <is>
          <t>Hecho</t>
        </is>
      </c>
      <c r="F47" s="6" t="inlineStr"/>
      <c r="G47" s="5" t="inlineStr">
        <is>
          <t>2026-06-22</t>
        </is>
      </c>
    </row>
    <row r="48">
      <c r="A48" s="4" t="n">
        <v>44</v>
      </c>
      <c r="B48" s="5" t="inlineStr">
        <is>
          <t>UX / Diseño</t>
        </is>
      </c>
      <c r="C48" s="6" t="inlineStr">
        <is>
          <t>Skeleton loaders (7 rutas)</t>
        </is>
      </c>
      <c r="D48" s="4" t="inlineStr">
        <is>
          <t>—</t>
        </is>
      </c>
      <c r="E48" s="7" t="inlineStr">
        <is>
          <t>Hecho</t>
        </is>
      </c>
      <c r="F48" s="6" t="inlineStr"/>
      <c r="G48" s="5" t="inlineStr">
        <is>
          <t>2026-06-22</t>
        </is>
      </c>
    </row>
    <row r="49">
      <c r="A49" s="4" t="n">
        <v>45</v>
      </c>
      <c r="B49" s="5" t="inlineStr">
        <is>
          <t>UX / Diseño</t>
        </is>
      </c>
      <c r="C49" s="6" t="inlineStr">
        <is>
          <t>Command palette ⌘K</t>
        </is>
      </c>
      <c r="D49" s="4" t="inlineStr">
        <is>
          <t>—</t>
        </is>
      </c>
      <c r="E49" s="7" t="inlineStr">
        <is>
          <t>Hecho</t>
        </is>
      </c>
      <c r="F49" s="6" t="inlineStr"/>
      <c r="G49" s="5" t="inlineStr">
        <is>
          <t>2026-06-22</t>
        </is>
      </c>
    </row>
    <row r="50">
      <c r="A50" s="4" t="n">
        <v>46</v>
      </c>
      <c r="B50" s="5" t="inlineStr">
        <is>
          <t>UX / Diseño</t>
        </is>
      </c>
      <c r="C50" s="6" t="inlineStr">
        <is>
          <t>Nomenclatura: los modos se presentan como 'versión' al usuario (Market, Servicios, etc.)</t>
        </is>
      </c>
      <c r="D50" s="4" t="inlineStr">
        <is>
          <t>—</t>
        </is>
      </c>
      <c r="E50" s="7" t="inlineStr">
        <is>
          <t>Hecho</t>
        </is>
      </c>
      <c r="F50" s="6" t="inlineStr">
        <is>
          <t>Landing (switcher, precios, cierre) + /planes + confirmación de transferencia; se usan los nombres reales de los planes (Market, no inventados como 'Kiosco')</t>
        </is>
      </c>
      <c r="G50" s="5" t="inlineStr">
        <is>
          <t>2026-06-22</t>
        </is>
      </c>
    </row>
    <row r="51">
      <c r="A51" s="4" t="n">
        <v>47</v>
      </c>
      <c r="B51" s="5" t="inlineStr">
        <is>
          <t>UX / Diseño</t>
        </is>
      </c>
      <c r="C51" s="6" t="inlineStr">
        <is>
          <t>Dark / light toggle</t>
        </is>
      </c>
      <c r="D51" s="4" t="inlineStr">
        <is>
          <t>Baja</t>
        </is>
      </c>
      <c r="E51" s="7" t="inlineStr">
        <is>
          <t>Pendiente</t>
        </is>
      </c>
      <c r="F51" s="6" t="inlineStr"/>
      <c r="G51" s="5" t="inlineStr">
        <is>
          <t>2026-06-22</t>
        </is>
      </c>
    </row>
    <row r="52">
      <c r="A52" s="4" t="n">
        <v>48</v>
      </c>
      <c r="B52" s="5" t="inlineStr">
        <is>
          <t>Negocio SaaS</t>
        </is>
      </c>
      <c r="C52" s="6" t="inlineStr">
        <is>
          <t>4 planes + Mercado Pago preapproval + webhook activación/suspensión</t>
        </is>
      </c>
      <c r="D52" s="4" t="inlineStr">
        <is>
          <t>—</t>
        </is>
      </c>
      <c r="E52" s="7" t="inlineStr">
        <is>
          <t>Hecho</t>
        </is>
      </c>
      <c r="F52" s="6" t="inlineStr">
        <is>
          <t>src/lib/planes.ts</t>
        </is>
      </c>
      <c r="G52" s="5" t="inlineStr">
        <is>
          <t>2026-06-22</t>
        </is>
      </c>
    </row>
    <row r="53">
      <c r="A53" s="4" t="n">
        <v>49</v>
      </c>
      <c r="B53" s="5" t="inlineStr">
        <is>
          <t>Negocio SaaS</t>
        </is>
      </c>
      <c r="C53" s="6" t="inlineStr">
        <is>
          <t>Cobro por transferencia (panel admin + aviso cliente + comprobante por email)</t>
        </is>
      </c>
      <c r="D53" s="4" t="inlineStr">
        <is>
          <t>—</t>
        </is>
      </c>
      <c r="E53" s="7" t="inlineStr">
        <is>
          <t>Hecho</t>
        </is>
      </c>
      <c r="F53" s="6" t="inlineStr">
        <is>
          <t>Activación manual 1-click; /admin/suscripciones; emails salen al cargar RESEND_API_KEY</t>
        </is>
      </c>
      <c r="G53" s="5" t="inlineStr">
        <is>
          <t>2026-06-22</t>
        </is>
      </c>
    </row>
    <row r="54">
      <c r="A54" s="4" t="n">
        <v>50</v>
      </c>
      <c r="B54" s="5" t="inlineStr">
        <is>
          <t>Negocio SaaS</t>
        </is>
      </c>
      <c r="C54" s="6" t="inlineStr">
        <is>
          <t>Cobro automático MP/Mobbex (CUIT Monotributo + cuenta)</t>
        </is>
      </c>
      <c r="D54" s="4" t="inlineStr">
        <is>
          <t>Alta</t>
        </is>
      </c>
      <c r="E54" s="7" t="inlineStr">
        <is>
          <t>En progreso</t>
        </is>
      </c>
      <c r="F54" s="6" t="inlineStr">
        <is>
          <t>Bloqueado: falta CUIT + cuenta. Mientras tanto se cobra por transferencia</t>
        </is>
      </c>
      <c r="G54" s="5" t="inlineStr">
        <is>
          <t>2026-06-22</t>
        </is>
      </c>
    </row>
    <row r="55">
      <c r="A55" s="4" t="n">
        <v>51</v>
      </c>
      <c r="B55" s="5" t="inlineStr">
        <is>
          <t>Negocio SaaS</t>
        </is>
      </c>
      <c r="C55" s="6" t="inlineStr">
        <is>
          <t>Panel super-admin (gestionar tenants, métricas cross-tenant)</t>
        </is>
      </c>
      <c r="D55" s="4" t="inlineStr">
        <is>
          <t>Media</t>
        </is>
      </c>
      <c r="E55" s="7" t="inlineStr">
        <is>
          <t>En progreso</t>
        </is>
      </c>
      <c r="F55" s="6" t="inlineStr">
        <is>
          <t>Panel /admin/suscripciones operativo; faltan métricas cross-tenant</t>
        </is>
      </c>
      <c r="G55" s="5" t="inlineStr">
        <is>
          <t>2026-06-22</t>
        </is>
      </c>
    </row>
    <row r="56">
      <c r="A56" s="4" t="n">
        <v>52</v>
      </c>
      <c r="B56" s="5" t="inlineStr">
        <is>
          <t>Negocio SaaS</t>
        </is>
      </c>
      <c r="C56" s="6" t="inlineStr">
        <is>
          <t>Catálogo global cross-tenant</t>
        </is>
      </c>
      <c r="D56" s="4" t="inlineStr">
        <is>
          <t>Baja</t>
        </is>
      </c>
      <c r="E56" s="7" t="inlineStr">
        <is>
          <t>Pendiente</t>
        </is>
      </c>
      <c r="F56" s="6" t="inlineStr">
        <is>
          <t>Necesita OK explícito antes de implementar</t>
        </is>
      </c>
      <c r="G56" s="5" t="inlineStr">
        <is>
          <t>2026-06-22</t>
        </is>
      </c>
    </row>
    <row r="57">
      <c r="A57" s="4" t="n">
        <v>53</v>
      </c>
      <c r="B57" s="5" t="inlineStr">
        <is>
          <t>Lanzamiento (bloqueante)</t>
        </is>
      </c>
      <c r="C57" s="6" t="inlineStr">
        <is>
          <t>Dominio propio (ej: usegesto.app)</t>
        </is>
      </c>
      <c r="D57" s="4" t="inlineStr">
        <is>
          <t>Alta</t>
        </is>
      </c>
      <c r="E57" s="7" t="inlineStr">
        <is>
          <t>Pendiente</t>
        </is>
      </c>
      <c r="F57" s="6" t="inlineStr">
        <is>
          <t>URL actual no es presentable</t>
        </is>
      </c>
      <c r="G57" s="5" t="inlineStr">
        <is>
          <t>2026-06-22</t>
        </is>
      </c>
    </row>
    <row r="58">
      <c r="A58" s="4" t="n">
        <v>54</v>
      </c>
      <c r="B58" s="5" t="inlineStr">
        <is>
          <t>Lanzamiento (bloqueante)</t>
        </is>
      </c>
      <c r="C58" s="6" t="inlineStr">
        <is>
          <t>SMTP con Resend (invitación, bienvenida, reset con branding)</t>
        </is>
      </c>
      <c r="D58" s="4" t="inlineStr">
        <is>
          <t>Alta</t>
        </is>
      </c>
      <c r="E58" s="7" t="inlineStr">
        <is>
          <t>Pendiente</t>
        </is>
      </c>
      <c r="F58" s="6" t="inlineStr">
        <is>
          <t>Cron listo; falta RESEND_API_KEY en Vercel (rotar la vieja)</t>
        </is>
      </c>
      <c r="G58" s="5" t="inlineStr">
        <is>
          <t>2026-06-22</t>
        </is>
      </c>
    </row>
    <row r="59">
      <c r="A59" s="4" t="n">
        <v>55</v>
      </c>
      <c r="B59" s="5" t="inlineStr">
        <is>
          <t>Lanzamiento (bloqueante)</t>
        </is>
      </c>
      <c r="C59" s="6" t="inlineStr">
        <is>
          <t>Landing page pública (adaptativa por versión + demo en vivo)</t>
        </is>
      </c>
      <c r="D59" s="4" t="inlineStr">
        <is>
          <t>Alta</t>
        </is>
      </c>
      <c r="E59" s="7" t="inlineStr">
        <is>
          <t>Hecho</t>
        </is>
      </c>
      <c r="F59" s="6" t="inlineStr">
        <is>
          <t>v3 'de oficio' LIVE: switcher de versiones auto-rotativo, demo POS con ticket de papel, foto real + captura de Gesto en celular, antes/después, FAQ, pricing al MEP, paleta terracota (sin neón), responsive mobile. Login rediseñado (split de marca)</t>
        </is>
      </c>
      <c r="G59" s="5" t="inlineStr">
        <is>
          <t>2026-06-22</t>
        </is>
      </c>
    </row>
    <row r="60">
      <c r="A60" s="4" t="n">
        <v>56</v>
      </c>
      <c r="B60" s="5" t="inlineStr">
        <is>
          <t>Lanzamiento (bloqueante)</t>
        </is>
      </c>
      <c r="C60" s="6" t="inlineStr">
        <is>
          <t>PWA manifest + iconos (192/512, apple-touch-icon)</t>
        </is>
      </c>
      <c r="D60" s="4" t="inlineStr">
        <is>
          <t>Alta</t>
        </is>
      </c>
      <c r="E60" s="7" t="inlineStr">
        <is>
          <t>Pendiente</t>
        </is>
      </c>
      <c r="F60" s="6" t="inlineStr">
        <is>
          <t>POS se usa en tablet/celular</t>
        </is>
      </c>
      <c r="G60" s="5" t="inlineStr">
        <is>
          <t>2026-06-22</t>
        </is>
      </c>
    </row>
    <row r="61">
      <c r="A61" s="4" t="n">
        <v>57</v>
      </c>
      <c r="B61" s="5" t="inlineStr">
        <is>
          <t>Lanzamiento (bloqueante)</t>
        </is>
      </c>
      <c r="C61" s="6" t="inlineStr">
        <is>
          <t>Términos de servicio + Política de privacidad</t>
        </is>
      </c>
      <c r="D61" s="4" t="inlineStr">
        <is>
          <t>Alta</t>
        </is>
      </c>
      <c r="E61" s="7" t="inlineStr">
        <is>
          <t>Hecho</t>
        </is>
      </c>
      <c r="F61" s="6" t="inlineStr">
        <is>
          <t>Páginas /legal/{terminos,privacidad,cookies,baja-de-datos} + links en footer + checkbox en signup. Prestador: Faro Sistemas (SIN datos fiscales por etapa pre-formalización; único contacto = email en constante CONTACTO_EMAIL, hoy el gmail). AL FORMALIZAR: cargar CUIT + domicilio + jurisdicción y que un abogado revise</t>
        </is>
      </c>
      <c r="G61" s="5" t="inlineStr">
        <is>
          <t>2026-06-22</t>
        </is>
      </c>
    </row>
    <row r="62">
      <c r="A62" s="4" t="n">
        <v>58</v>
      </c>
      <c r="B62" s="5" t="inlineStr">
        <is>
          <t>Calidad / Seguridad</t>
        </is>
      </c>
      <c r="C62" s="6" t="inlineStr">
        <is>
          <t>Bugs críticos corregidos (stock al vender, numeración, loop /planes)</t>
        </is>
      </c>
      <c r="D62" s="4" t="inlineStr">
        <is>
          <t>—</t>
        </is>
      </c>
      <c r="E62" s="7" t="inlineStr">
        <is>
          <t>Hecho</t>
        </is>
      </c>
      <c r="F62" s="6" t="inlineStr"/>
      <c r="G62" s="5" t="inlineStr">
        <is>
          <t>2026-06-22</t>
        </is>
      </c>
    </row>
    <row r="63">
      <c r="A63" s="4" t="n">
        <v>59</v>
      </c>
      <c r="B63" s="5" t="inlineStr">
        <is>
          <t>Calidad / Seguridad</t>
        </is>
      </c>
      <c r="C63" s="6" t="inlineStr">
        <is>
          <t>ConfirmDialog reutilizable (reemplaza window.confirm en 9 comp.)</t>
        </is>
      </c>
      <c r="D63" s="4" t="inlineStr">
        <is>
          <t>—</t>
        </is>
      </c>
      <c r="E63" s="7" t="inlineStr">
        <is>
          <t>Hecho</t>
        </is>
      </c>
      <c r="F63" s="6" t="inlineStr"/>
      <c r="G63" s="5" t="inlineStr">
        <is>
          <t>2026-06-22</t>
        </is>
      </c>
    </row>
    <row r="64">
      <c r="A64" s="4" t="n">
        <v>60</v>
      </c>
      <c r="B64" s="5" t="inlineStr">
        <is>
          <t>Calidad / Seguridad</t>
        </is>
      </c>
      <c r="C64" s="6" t="inlineStr">
        <is>
          <t>Verificar firma de webhook MP</t>
        </is>
      </c>
      <c r="D64" s="4" t="inlineStr">
        <is>
          <t>—</t>
        </is>
      </c>
      <c r="E64" s="7" t="inlineStr">
        <is>
          <t>Hecho</t>
        </is>
      </c>
      <c r="F64" s="6" t="inlineStr">
        <is>
          <t>Firma HMAC timing-safe + fail-closed en prod; cargar MP_WEBHOOK_SECRET en Vercel</t>
        </is>
      </c>
      <c r="G64" s="5" t="inlineStr">
        <is>
          <t>2026-06-22</t>
        </is>
      </c>
    </row>
    <row r="65">
      <c r="A65" s="4" t="n">
        <v>61</v>
      </c>
      <c r="B65" s="5" t="inlineStr">
        <is>
          <t>Calidad / Seguridad</t>
        </is>
      </c>
      <c r="C65" s="6" t="inlineStr">
        <is>
          <t>Auditoría de seguridad E2E + fixes (IDOR token MP, recibirPedido, escalación de rol, OAuth state, crons fail-closed, escape de emails)</t>
        </is>
      </c>
      <c r="D65" s="4" t="inlineStr">
        <is>
          <t>—</t>
        </is>
      </c>
      <c r="E65" s="7" t="inlineStr">
        <is>
          <t>Hecho</t>
        </is>
      </c>
      <c r="F65" s="6" t="inlineStr">
        <is>
          <t>Guard test anti-omisión de byTenant; ver project_gesto_seguridad. RLS no protege capa app (byTenant única defensa)</t>
        </is>
      </c>
      <c r="G65" s="5" t="inlineStr">
        <is>
          <t>2026-06-22</t>
        </is>
      </c>
    </row>
    <row r="66">
      <c r="A66" s="4" t="n">
        <v>62</v>
      </c>
      <c r="B66" s="5" t="inlineStr">
        <is>
          <t>Calidad / Seguridad</t>
        </is>
      </c>
      <c r="C66" s="6" t="inlineStr">
        <is>
          <t>Rate limiting en auth (login/signup)</t>
        </is>
      </c>
      <c r="D66" s="4" t="inlineStr">
        <is>
          <t>Media</t>
        </is>
      </c>
      <c r="E66" s="7" t="inlineStr">
        <is>
          <t>Pendiente</t>
        </is>
      </c>
      <c r="F66" s="6" t="inlineStr">
        <is>
          <t>ej: @upstash/ratelimit</t>
        </is>
      </c>
      <c r="G66" s="5" t="inlineStr">
        <is>
          <t>2026-06-22</t>
        </is>
      </c>
    </row>
    <row r="67">
      <c r="A67" s="4" t="n">
        <v>63</v>
      </c>
      <c r="B67" s="5" t="inlineStr">
        <is>
          <t>Calidad / Seguridad</t>
        </is>
      </c>
      <c r="C67" s="6" t="inlineStr">
        <is>
          <t>Tests de integración (flows de venta y producto)</t>
        </is>
      </c>
      <c r="D67" s="4" t="inlineStr">
        <is>
          <t>Media</t>
        </is>
      </c>
      <c r="E67" s="7" t="inlineStr">
        <is>
          <t>Pendiente</t>
        </is>
      </c>
      <c r="F67" s="6" t="inlineStr"/>
      <c r="G67" s="5" t="inlineStr">
        <is>
          <t>2026-06-22</t>
        </is>
      </c>
    </row>
    <row r="68">
      <c r="A68" s="4" t="n">
        <v>64</v>
      </c>
      <c r="B68" s="5" t="inlineStr">
        <is>
          <t>Calidad / Seguridad</t>
        </is>
      </c>
      <c r="C68" s="6" t="inlineStr">
        <is>
          <t>Export de datos (CSV ventas / inventario)</t>
        </is>
      </c>
      <c r="D68" s="4" t="inlineStr">
        <is>
          <t>Media</t>
        </is>
      </c>
      <c r="E68" s="7" t="inlineStr">
        <is>
          <t>Pendiente</t>
        </is>
      </c>
      <c r="F68" s="6" t="inlineStr">
        <is>
          <t>Que el cliente no sienta lock-in</t>
        </is>
      </c>
      <c r="G68" s="5" t="inlineStr">
        <is>
          <t>2026-06-22</t>
        </is>
      </c>
    </row>
    <row r="69">
      <c r="A69" s="4" t="n">
        <v>65</v>
      </c>
      <c r="B69" s="5" t="inlineStr">
        <is>
          <t>Calidad / Seguridad</t>
        </is>
      </c>
      <c r="C69" s="6" t="inlineStr">
        <is>
          <t>Facturación AFIP (Tusfacturas.app, A/B)</t>
        </is>
      </c>
      <c r="D69" s="4" t="inlineStr">
        <is>
          <t>Media</t>
        </is>
      </c>
      <c r="E69" s="7" t="inlineStr">
        <is>
          <t>Pendiente</t>
        </is>
      </c>
      <c r="F69" s="6" t="inlineStr">
        <is>
          <t>Bloqueante segmento servicios/mayorista</t>
        </is>
      </c>
      <c r="G69" s="5" t="inlineStr">
        <is>
          <t>2026-06-22</t>
        </is>
      </c>
    </row>
    <row r="70">
      <c r="A70" s="4" t="n">
        <v>66</v>
      </c>
      <c r="B70" s="5" t="inlineStr">
        <is>
          <t>Calidad / Seguridad</t>
        </is>
      </c>
      <c r="C70" s="6" t="inlineStr">
        <is>
          <t>Historial de auditoría básico (quién creó/modificó)</t>
        </is>
      </c>
      <c r="D70" s="4" t="inlineStr">
        <is>
          <t>Baja</t>
        </is>
      </c>
      <c r="E70" s="7" t="inlineStr">
        <is>
          <t>Pendiente</t>
        </is>
      </c>
      <c r="F70" s="6" t="inlineStr">
        <is>
          <t>Mínimo en productos y ventas</t>
        </is>
      </c>
      <c r="G70" s="5" t="inlineStr">
        <is>
          <t>2026-06-22</t>
        </is>
      </c>
    </row>
    <row r="71">
      <c r="A71" s="4" t="n">
        <v>67</v>
      </c>
      <c r="B71" s="5" t="inlineStr">
        <is>
          <t>Legal / Fiscal</t>
        </is>
      </c>
      <c r="C71" s="6" t="inlineStr">
        <is>
          <t>CUIT + Monotributo (o Responsable Inscripto)</t>
        </is>
      </c>
      <c r="D71" s="4" t="inlineStr">
        <is>
          <t>Alta</t>
        </is>
      </c>
      <c r="E71" s="7" t="inlineStr">
        <is>
          <t>Pendiente</t>
        </is>
      </c>
      <c r="F71" s="6" t="inlineStr">
        <is>
          <t>Bloquea cobrar en regla; ojo el tope anual de Monotributo con ingresos SaaS recurrentes</t>
        </is>
      </c>
      <c r="G71" s="5" t="inlineStr">
        <is>
          <t>2026-06-22</t>
        </is>
      </c>
    </row>
    <row r="72">
      <c r="A72" s="4" t="n">
        <v>68</v>
      </c>
      <c r="B72" s="5" t="inlineStr">
        <is>
          <t>Legal / Fiscal</t>
        </is>
      </c>
      <c r="C72" s="6" t="inlineStr">
        <is>
          <t>Registro de bases de datos ante la AAIP (Ley 25.326)</t>
        </is>
      </c>
      <c r="D72" s="4" t="inlineStr">
        <is>
          <t>Media</t>
        </is>
      </c>
      <c r="E72" s="7" t="inlineStr">
        <is>
          <t>Pendiente</t>
        </is>
      </c>
      <c r="F72" s="6" t="inlineStr">
        <is>
          <t>Sos responsable de la PII de los clientes y de SUS clientes</t>
        </is>
      </c>
      <c r="G72" s="5" t="inlineStr">
        <is>
          <t>2026-06-22</t>
        </is>
      </c>
    </row>
    <row r="73">
      <c r="A73" s="4" t="n">
        <v>69</v>
      </c>
      <c r="B73" s="5" t="inlineStr">
        <is>
          <t>Legal / Fiscal</t>
        </is>
      </c>
      <c r="C73" s="6" t="inlineStr">
        <is>
          <t>Botón de baja + arrepentimiento de suscripción (Res. 424/2020)</t>
        </is>
      </c>
      <c r="D73" s="4" t="inlineStr">
        <is>
          <t>Media</t>
        </is>
      </c>
      <c r="E73" s="7" t="inlineStr">
        <is>
          <t>En progreso</t>
        </is>
      </c>
      <c r="F73" s="6" t="inlineStr">
        <is>
          <t>Ya existe cancelarSuscripcion + página /legal/baja-de-datos que explica el proceso; falta el botón de arrepentimiento bien visible</t>
        </is>
      </c>
      <c r="G73" s="5" t="inlineStr">
        <is>
          <t>2026-06-22</t>
        </is>
      </c>
    </row>
    <row r="74">
      <c r="A74" s="4" t="n">
        <v>70</v>
      </c>
      <c r="B74" s="5" t="inlineStr">
        <is>
          <t>Legal / Fiscal</t>
        </is>
      </c>
      <c r="C74" s="6" t="inlineStr">
        <is>
          <t>Cláusulas de transferencia internacional de datos</t>
        </is>
      </c>
      <c r="D74" s="4" t="inlineStr">
        <is>
          <t>Baja</t>
        </is>
      </c>
      <c r="E74" s="7" t="inlineStr">
        <is>
          <t>Pendiente</t>
        </is>
      </c>
      <c r="F74" s="6" t="inlineStr">
        <is>
          <t>Datos en AWS us-east-1; Ley 25.326 exige resguardos (EE.UU. no es país adecuado por defecto)</t>
        </is>
      </c>
      <c r="G74" s="5" t="inlineStr">
        <is>
          <t>2026-06-22</t>
        </is>
      </c>
    </row>
    <row r="75">
      <c r="A75" s="4" t="n">
        <v>71</v>
      </c>
      <c r="B75" s="5" t="inlineStr">
        <is>
          <t>Legal / Fiscal</t>
        </is>
      </c>
      <c r="C75" s="6" t="inlineStr">
        <is>
          <t>Estructura societaria (SAS) + acuerdo escrito con socio</t>
        </is>
      </c>
      <c r="D75" s="4" t="inlineStr">
        <is>
          <t>Media</t>
        </is>
      </c>
      <c r="E75" s="7" t="inlineStr">
        <is>
          <t>Pendiente</t>
        </is>
      </c>
      <c r="F75" s="6" t="inlineStr">
        <is>
          <t>Separa patrimonio del riesgo; formaliza la participación de Facu</t>
        </is>
      </c>
      <c r="G75" s="5" t="inlineStr">
        <is>
          <t>2026-06-22</t>
        </is>
      </c>
    </row>
    <row r="76">
      <c r="A76" s="4" t="n">
        <v>72</v>
      </c>
      <c r="B76" s="5" t="inlineStr">
        <is>
          <t>Legal / Fiscal</t>
        </is>
      </c>
      <c r="C76" s="6" t="inlineStr">
        <is>
          <t>Contrato de servicio / SLA con clientes</t>
        </is>
      </c>
      <c r="D76" s="4" t="inlineStr">
        <is>
          <t>Media</t>
        </is>
      </c>
      <c r="E76" s="7" t="inlineStr">
        <is>
          <t>Pendiente</t>
        </is>
      </c>
      <c r="F76" s="6" t="inlineStr">
        <is>
          <t>Dueño de los datos (el cliente), uptime, soporte, límite de responsabilidad</t>
        </is>
      </c>
      <c r="G76" s="5" t="inlineStr">
        <is>
          <t>2026-06-22</t>
        </is>
      </c>
    </row>
    <row r="77">
      <c r="A77" s="4" t="n">
        <v>73</v>
      </c>
      <c r="B77" s="5" t="inlineStr">
        <is>
          <t>Infra / Escalado</t>
        </is>
      </c>
      <c r="C77" s="6" t="inlineStr">
        <is>
          <t>Vercel Pro + Supabase Pro</t>
        </is>
      </c>
      <c r="D77" s="4" t="inlineStr">
        <is>
          <t>Alta</t>
        </is>
      </c>
      <c r="E77" s="7" t="inlineStr">
        <is>
          <t>Pendiente</t>
        </is>
      </c>
      <c r="F77" s="6" t="inlineStr">
        <is>
          <t>Vercel Hobby es no comercial; Supabase Free se pausa a los 7 días. Bloquea producción real</t>
        </is>
      </c>
      <c r="G77" s="5" t="inlineStr">
        <is>
          <t>2026-06-22</t>
        </is>
      </c>
    </row>
    <row r="78">
      <c r="A78" s="4" t="n">
        <v>74</v>
      </c>
      <c r="B78" s="5" t="inlineStr">
        <is>
          <t>Infra / Escalado</t>
        </is>
      </c>
      <c r="C78" s="6" t="inlineStr">
        <is>
          <t>Backups diarios + PITR + probar un restore</t>
        </is>
      </c>
      <c r="D78" s="4" t="inlineStr">
        <is>
          <t>Media</t>
        </is>
      </c>
      <c r="E78" s="7" t="inlineStr">
        <is>
          <t>Pendiente</t>
        </is>
      </c>
      <c r="F78" s="6" t="inlineStr">
        <is>
          <t>Un backup sin restore probado no es un backup</t>
        </is>
      </c>
      <c r="G78" s="5" t="inlineStr">
        <is>
          <t>2026-06-22</t>
        </is>
      </c>
    </row>
    <row r="79">
      <c r="A79" s="4" t="n">
        <v>75</v>
      </c>
      <c r="B79" s="5" t="inlineStr">
        <is>
          <t>Infra / Escalado</t>
        </is>
      </c>
      <c r="C79" s="6" t="inlineStr">
        <is>
          <t>Monitoreo: activar Sentry + uptime check</t>
        </is>
      </c>
      <c r="D79" s="4" t="inlineStr">
        <is>
          <t>Media</t>
        </is>
      </c>
      <c r="E79" s="7" t="inlineStr">
        <is>
          <t>Pendiente</t>
        </is>
      </c>
      <c r="F79" s="6" t="inlineStr">
        <is>
          <t>SENTRY_DSN ya está en el build, falta activarlo + un cron canario</t>
        </is>
      </c>
      <c r="G79" s="5" t="inlineStr">
        <is>
          <t>2026-06-22</t>
        </is>
      </c>
    </row>
    <row r="80">
      <c r="A80" s="4" t="n">
        <v>76</v>
      </c>
      <c r="B80" s="5" t="inlineStr">
        <is>
          <t>Infra / Escalado</t>
        </is>
      </c>
      <c r="C80" s="6" t="inlineStr">
        <is>
          <t>Email deliverability: dominio + SPF/DKIM/DMARC (Resend)</t>
        </is>
      </c>
      <c r="D80" s="4" t="inlineStr">
        <is>
          <t>Media</t>
        </is>
      </c>
      <c r="E80" s="7" t="inlineStr">
        <is>
          <t>Pendiente</t>
        </is>
      </c>
      <c r="F80" s="6" t="inlineStr">
        <is>
          <t>Si no, comprobantes y facturas caen en spam</t>
        </is>
      </c>
      <c r="G80" s="5" t="inlineStr">
        <is>
          <t>2026-06-22</t>
        </is>
      </c>
    </row>
    <row r="81">
      <c r="A81" s="4" t="n">
        <v>77</v>
      </c>
      <c r="B81" s="5" t="inlineStr">
        <is>
          <t>Infra / Escalado</t>
        </is>
      </c>
      <c r="C81" s="6" t="inlineStr">
        <is>
          <t>Encriptar tokens MP del negocio at-rest</t>
        </is>
      </c>
      <c r="D81" s="4" t="inlineStr">
        <is>
          <t>Media</t>
        </is>
      </c>
      <c r="E81" s="7" t="inlineStr">
        <is>
          <t>Pendiente</t>
        </is>
      </c>
      <c r="F81" s="6" t="inlineStr">
        <is>
          <t>Hoy en texto plano en tenants (hallazgo de seguridad #9)</t>
        </is>
      </c>
      <c r="G81" s="5" t="inlineStr">
        <is>
          <t>2026-06-22</t>
        </is>
      </c>
    </row>
    <row r="82">
      <c r="A82" s="4" t="n">
        <v>78</v>
      </c>
      <c r="B82" s="5" t="inlineStr">
        <is>
          <t>Backlog / Ideas</t>
        </is>
      </c>
      <c r="C82" s="6" t="inlineStr">
        <is>
          <t>Consultor de precios para cliente final (pantalla pública con QR)</t>
        </is>
      </c>
      <c r="D82" s="4" t="inlineStr">
        <is>
          <t>Media</t>
        </is>
      </c>
      <c r="E82" s="7" t="inlineStr">
        <is>
          <t>Pendiente</t>
        </is>
      </c>
      <c r="F82" s="6" t="inlineStr">
        <is>
          <t>Diferenciador único; ruta /p/[tenantSlug]</t>
        </is>
      </c>
      <c r="G82" s="5" t="inlineStr">
        <is>
          <t>2026-06-22</t>
        </is>
      </c>
    </row>
    <row r="83">
      <c r="A83" s="4" t="n">
        <v>79</v>
      </c>
      <c r="B83" s="5" t="inlineStr">
        <is>
          <t>Versiones / Verticales</t>
        </is>
      </c>
      <c r="C83" s="6" t="inlineStr">
        <is>
          <t>Mejorar login/registro: sumarle contenido útil (hoy se siente vacío)</t>
        </is>
      </c>
      <c r="D83" s="4" t="inlineStr">
        <is>
          <t>Media</t>
        </is>
      </c>
      <c r="E83" s="7" t="inlineStr">
        <is>
          <t>Hecho</t>
        </is>
      </c>
      <c r="F83" s="6" t="inlineStr">
        <is>
          <t>Split de marca + recuperación de contraseña ya estaban. Sumado: ver/ocultar contraseña (PasswordInput) en login/signup/reset, errores específicos (email sin confirmar, rate-limit, email ya registrado), pie con Términos/Privacidad/ayuda por mail, indicador de fuerza de contraseña</t>
        </is>
      </c>
      <c r="G83" s="5" t="inlineStr">
        <is>
          <t>2026-06-22</t>
        </is>
      </c>
    </row>
    <row r="84">
      <c r="A84" s="4" t="n">
        <v>80</v>
      </c>
      <c r="B84" s="5" t="inlineStr">
        <is>
          <t>Versiones / Verticales</t>
        </is>
      </c>
      <c r="C84" s="6" t="inlineStr">
        <is>
          <t>Gesto Balanza funcional: integración con balanza digital + venta por peso</t>
        </is>
      </c>
      <c r="D84" s="4" t="inlineStr">
        <is>
          <t>Alta</t>
        </is>
      </c>
      <c r="E84" s="7" t="inlineStr">
        <is>
          <t>Hecho</t>
        </is>
      </c>
      <c r="F84" s="6" t="inlineStr">
        <is>
          <t>POS con venta por peso: modal de gramos (atajos 250/500/1000 g + subtotal en vivo), edición de peso en carrito, y lectura de etiquetas de balanza con peso embebido (EAN-13 prefijo 2 -&gt; PLU + peso). Página /dashboard/balanza con guía de 3 pasos. Plan habilitado (proximamente:false) y nav activo. Pendiente futuro: configurar el formato exacto de etiqueta por marca de balanza</t>
        </is>
      </c>
      <c r="G84" s="5" t="inlineStr">
        <is>
          <t>2026-06-22</t>
        </is>
      </c>
    </row>
    <row r="85">
      <c r="A85" s="4" t="n">
        <v>81</v>
      </c>
      <c r="B85" s="5" t="inlineStr">
        <is>
          <t>Versiones / Verticales</t>
        </is>
      </c>
      <c r="C85" s="6" t="inlineStr">
        <is>
          <t>Gesto Food: POS propio (comandas, mesas, cocina/KDS) — muy distinto a Market</t>
        </is>
      </c>
      <c r="D85" s="4" t="inlineStr">
        <is>
          <t>Alta</t>
        </is>
      </c>
      <c r="E85" s="7" t="inlineStr">
        <is>
          <t>Pendiente</t>
        </is>
      </c>
      <c r="F85" s="6" t="inlineStr">
        <is>
          <t>Hoy figura 'próximamente'</t>
        </is>
      </c>
      <c r="G85" s="5" t="inlineStr">
        <is>
          <t>2026-06-22</t>
        </is>
      </c>
    </row>
    <row r="86">
      <c r="A86" s="4" t="n">
        <v>82</v>
      </c>
      <c r="B86" s="5" t="inlineStr">
        <is>
          <t>Versiones / Verticales</t>
        </is>
      </c>
      <c r="C86" s="6" t="inlineStr">
        <is>
          <t>Gesto Servicios: emitir boletas además de presupuestos + simplificar botones/UI</t>
        </is>
      </c>
      <c r="D86" s="4" t="inlineStr">
        <is>
          <t>Alta</t>
        </is>
      </c>
      <c r="E86" s="7" t="inlineStr">
        <is>
          <t>Hecho</t>
        </is>
      </c>
      <c r="F86" s="6" t="inlineStr">
        <is>
          <t>Form de presupuesto simplificado + BOLETAS de punta a punta: boleta directa (form modo boleta con método de pago), numeración propia, lista /dashboard/boletas + nav, detalle adaptado y PDF como RECIBO. Migración 0009 aplicada en dev+prod. Comprobante NO fiscal. Botón 'Emitir recibo' desde un presupuesto cobrado HECHO (PDF como recibo, sin duplicar ingreso). Pendiente menor: seguir puliendo UI</t>
        </is>
      </c>
      <c r="G86" s="5" t="inlineStr">
        <is>
          <t>2026-06-22</t>
        </is>
      </c>
    </row>
    <row r="87">
      <c r="A87" s="4" t="n">
        <v>83</v>
      </c>
      <c r="B87" s="5" t="inlineStr">
        <is>
          <t>Versiones / Verticales</t>
        </is>
      </c>
      <c r="C87" s="6" t="inlineStr">
        <is>
          <t>Gesto Atmosféricos: historial, agenda y pedidos para días futuros + arreglar ruta en Maps</t>
        </is>
      </c>
      <c r="D87" s="4" t="inlineStr">
        <is>
          <t>Alta</t>
        </is>
      </c>
      <c r="E87" s="7" t="inlineStr">
        <is>
          <t>Hecho</t>
        </is>
      </c>
      <c r="F87" s="6" t="inlineStr">
        <is>
          <t>Historial ya existía; AGENDA (navegación entre días) + pedidos para días futuros HECHO. Maps ARREGLADO: campo 'ubicación exacta' (link de Maps) por pedido; geo.ts extrae coordenadas del link y la ruta usa el punto exacto en vez del texto. Migración 0010 en dev+prod</t>
        </is>
      </c>
      <c r="G87" s="5" t="inlineStr">
        <is>
          <t>2026-06-22</t>
        </is>
      </c>
    </row>
    <row r="88">
      <c r="A88" s="4" t="n">
        <v>84</v>
      </c>
      <c r="B88" s="5" t="inlineStr">
        <is>
          <t>Roadmap v2</t>
        </is>
      </c>
      <c r="C88" s="6" t="inlineStr">
        <is>
          <t>Modificadores por ítem en POS (extras, variantes)</t>
        </is>
      </c>
      <c r="D88" s="4" t="inlineStr">
        <is>
          <t>Baja</t>
        </is>
      </c>
      <c r="E88" s="7" t="inlineStr">
        <is>
          <t>Pendiente</t>
        </is>
      </c>
      <c r="F88" s="6" t="inlineStr"/>
      <c r="G88" s="5" t="inlineStr">
        <is>
          <t>2026-06-22</t>
        </is>
      </c>
    </row>
    <row r="89">
      <c r="A89" s="4" t="n">
        <v>85</v>
      </c>
      <c r="B89" s="5" t="inlineStr">
        <is>
          <t>Roadmap v2</t>
        </is>
      </c>
      <c r="C89" s="6" t="inlineStr">
        <is>
          <t>App mobile nativa con Capacitor (offline first)</t>
        </is>
      </c>
      <c r="D89" s="4" t="inlineStr">
        <is>
          <t>Baja</t>
        </is>
      </c>
      <c r="E89" s="7" t="inlineStr">
        <is>
          <t>Pendiente</t>
        </is>
      </c>
      <c r="F89" s="6" t="inlineStr"/>
      <c r="G89" s="5" t="inlineStr">
        <is>
          <t>2026-06-22</t>
        </is>
      </c>
    </row>
    <row r="90">
      <c r="A90" s="4" t="n">
        <v>86</v>
      </c>
      <c r="B90" s="5" t="inlineStr">
        <is>
          <t>Roadmap v2</t>
        </is>
      </c>
      <c r="C90" s="6" t="inlineStr">
        <is>
          <t>Notificaciones push (stock, pedidos)</t>
        </is>
      </c>
      <c r="D90" s="4" t="inlineStr">
        <is>
          <t>Baja</t>
        </is>
      </c>
      <c r="E90" s="7" t="inlineStr">
        <is>
          <t>Pendiente</t>
        </is>
      </c>
      <c r="F90" s="6" t="inlineStr"/>
      <c r="G90" s="5" t="inlineStr">
        <is>
          <t>2026-06-22</t>
        </is>
      </c>
    </row>
    <row r="91">
      <c r="A91" s="4" t="n">
        <v>87</v>
      </c>
      <c r="B91" s="5" t="inlineStr">
        <is>
          <t>Roadmap v2</t>
        </is>
      </c>
      <c r="C91" s="6" t="inlineStr">
        <is>
          <t>Dashboard financiero avanzado (márgenes, rentabilidad)</t>
        </is>
      </c>
      <c r="D91" s="4" t="inlineStr">
        <is>
          <t>Baja</t>
        </is>
      </c>
      <c r="E91" s="7" t="inlineStr">
        <is>
          <t>Pendiente</t>
        </is>
      </c>
      <c r="F91" s="6" t="inlineStr"/>
      <c r="G91" s="5" t="inlineStr">
        <is>
          <t>2026-06-22</t>
        </is>
      </c>
    </row>
    <row r="92">
      <c r="A92" s="4" t="n">
        <v>88</v>
      </c>
      <c r="B92" s="5" t="inlineStr">
        <is>
          <t>Roadmap v2</t>
        </is>
      </c>
      <c r="C92" s="6" t="inlineStr">
        <is>
          <t>Multi-sucursal (varios locales bajo una cuenta madre)</t>
        </is>
      </c>
      <c r="D92" s="4" t="inlineStr">
        <is>
          <t>Baja</t>
        </is>
      </c>
      <c r="E92" s="7" t="inlineStr">
        <is>
          <t>Pendiente</t>
        </is>
      </c>
      <c r="F92" s="6" t="inlineStr"/>
      <c r="G92" s="5" t="inlineStr">
        <is>
          <t>2026-06-22</t>
        </is>
      </c>
    </row>
    <row r="93">
      <c r="A93" s="4" t="n">
        <v>89</v>
      </c>
      <c r="B93" s="5" t="inlineStr">
        <is>
          <t>Marketing / Conversión</t>
        </is>
      </c>
      <c r="C93" s="6" t="inlineStr">
        <is>
          <t>Registro en mini-wizard modal (versión -&gt; cuenta), sin mandar al login frío</t>
        </is>
      </c>
      <c r="D93" s="4" t="inlineStr">
        <is>
          <t>Alta</t>
        </is>
      </c>
      <c r="E93" s="7" t="inlineStr">
        <is>
          <t>Hecho</t>
        </is>
      </c>
      <c r="F93" s="6" t="inlineStr">
        <is>
          <t>Modal in-page (no popup) que abren los CTA 'Empezá gratis'. Paso 1 elegís versión, paso 2 creás cuenta; la versión se hereda al onboarding</t>
        </is>
      </c>
      <c r="G93" s="5" t="inlineStr">
        <is>
          <t>2026-06-22</t>
        </is>
      </c>
    </row>
    <row r="94">
      <c r="A94" s="4" t="n">
        <v>90</v>
      </c>
      <c r="B94" s="5" t="inlineStr">
        <is>
          <t>Marketing / Conversión</t>
        </is>
      </c>
      <c r="C94" s="6" t="inlineStr">
        <is>
          <t>Login con Google (OAuth)</t>
        </is>
      </c>
      <c r="D94" s="4" t="inlineStr">
        <is>
          <t>Alta</t>
        </is>
      </c>
      <c r="E94" s="7" t="inlineStr">
        <is>
          <t>En progreso</t>
        </is>
      </c>
      <c r="F94" s="6" t="inlineStr">
        <is>
          <t>Código cableado en el wizard y disponible. FALTA: habilitar el provider Google en Supabase (Auth -&gt; Providers) con credenciales de Google Cloud Console</t>
        </is>
      </c>
      <c r="G94" s="5" t="inlineStr">
        <is>
          <t>2026-06-22</t>
        </is>
      </c>
    </row>
    <row r="95">
      <c r="A95" s="4" t="n">
        <v>91</v>
      </c>
      <c r="B95" s="5" t="inlineStr">
        <is>
          <t>Marketing / Conversión</t>
        </is>
      </c>
      <c r="C95" s="6" t="inlineStr">
        <is>
          <t>Botón de WhatsApp flotante en la landing</t>
        </is>
      </c>
      <c r="D95" s="4" t="inlineStr">
        <is>
          <t>Alta</t>
        </is>
      </c>
      <c r="E95" s="7" t="inlineStr">
        <is>
          <t>Hecho</t>
        </is>
      </c>
      <c r="F95" s="6" t="inlineStr">
        <is>
          <t>Sugerido por Deepseek y Gemini. FALTA: reemplazar el número placeholder por el real</t>
        </is>
      </c>
      <c r="G95" s="5" t="inlineStr">
        <is>
          <t>2026-06-22</t>
        </is>
      </c>
    </row>
    <row r="96">
      <c r="A96" s="4" t="n">
        <v>92</v>
      </c>
      <c r="B96" s="5" t="inlineStr">
        <is>
          <t>Marketing / Conversión</t>
        </is>
      </c>
      <c r="C96" s="6" t="inlineStr">
        <is>
          <t>Landing pages por vertical (/market, /atmosfericos, /balanza) para pauta en Meta Ads</t>
        </is>
      </c>
      <c r="D96" s="4" t="inlineStr">
        <is>
          <t>Alta</t>
        </is>
      </c>
      <c r="E96" s="7" t="inlineStr">
        <is>
          <t>Pendiente</t>
        </is>
      </c>
      <c r="F96" s="6" t="inlineStr">
        <is>
          <t>Gemini: la página de destino tiene que hablarle solo a ese rubro para no diluir la conversión</t>
        </is>
      </c>
      <c r="G96" s="5" t="inlineStr">
        <is>
          <t>2026-06-22</t>
        </is>
      </c>
    </row>
    <row r="97">
      <c r="A97" s="4" t="n">
        <v>93</v>
      </c>
      <c r="B97" s="5" t="inlineStr">
        <is>
          <t>Marketing / Conversión</t>
        </is>
      </c>
      <c r="C97" s="6" t="inlineStr">
        <is>
          <t>Dominio propio (ej. gesto.com.ar) apuntado en Vercel</t>
        </is>
      </c>
      <c r="D97" s="4" t="inlineStr">
        <is>
          <t>Alta</t>
        </is>
      </c>
      <c r="E97" s="7" t="inlineStr">
        <is>
          <t>Pendiente</t>
        </is>
      </c>
      <c r="F97" s="6" t="inlineStr">
        <is>
          <t>Gemini: faro-sistemas.vercel.app no transmite 'Gesto' y resta confianza</t>
        </is>
      </c>
      <c r="G97" s="5" t="inlineStr">
        <is>
          <t>2026-06-22</t>
        </is>
      </c>
    </row>
    <row r="98">
      <c r="A98" s="4" t="n">
        <v>94</v>
      </c>
      <c r="B98" s="5" t="inlineStr">
        <is>
          <t>Marketing / Conversión</t>
        </is>
      </c>
      <c r="C98" s="6" t="inlineStr">
        <is>
          <t>Nav de la landing con Versiones y Ayuda (hoy solo Precios)</t>
        </is>
      </c>
      <c r="D98" s="4" t="inlineStr">
        <is>
          <t>Media</t>
        </is>
      </c>
      <c r="E98" s="7" t="inlineStr">
        <is>
          <t>Pendiente</t>
        </is>
      </c>
      <c r="F98" s="6" t="inlineStr">
        <is>
          <t>Deepseek</t>
        </is>
      </c>
      <c r="G98" s="5" t="inlineStr">
        <is>
          <t>2026-06-22</t>
        </is>
      </c>
    </row>
    <row r="99">
      <c r="A99" s="4" t="n">
        <v>95</v>
      </c>
      <c r="B99" s="5" t="inlineStr">
        <is>
          <t>Marketing / Conversión</t>
        </is>
      </c>
      <c r="C99" s="6" t="inlineStr">
        <is>
          <t>Sello 'datos encriptados' + destacar '14 días sin tarjeta' como badge</t>
        </is>
      </c>
      <c r="D99" s="4" t="inlineStr">
        <is>
          <t>Media</t>
        </is>
      </c>
      <c r="E99" s="7" t="inlineStr">
        <is>
          <t>Pendiente</t>
        </is>
      </c>
      <c r="F99" s="6" t="inlineStr">
        <is>
          <t>Deepseek: confianza sin necesitar testimonios</t>
        </is>
      </c>
      <c r="G99" s="5" t="inlineStr">
        <is>
          <t>2026-06-22</t>
        </is>
      </c>
    </row>
    <row r="100">
      <c r="A100" s="4" t="n">
        <v>96</v>
      </c>
      <c r="B100" s="5" t="inlineStr">
        <is>
          <t>Marketing / Conversión</t>
        </is>
      </c>
      <c r="C100" s="6" t="inlineStr">
        <is>
          <t>Testimonios / casos de éxito</t>
        </is>
      </c>
      <c r="D100" s="4" t="inlineStr">
        <is>
          <t>Media</t>
        </is>
      </c>
      <c r="E100" s="7" t="inlineStr">
        <is>
          <t>Pendiente</t>
        </is>
      </c>
      <c r="F100" s="6" t="inlineStr">
        <is>
          <t>Dejar el espacio diseñado y llenarlo con los primeros clientes reales (no inventar)</t>
        </is>
      </c>
      <c r="G100" s="5" t="inlineStr">
        <is>
          <t>2026-06-22</t>
        </is>
      </c>
    </row>
    <row r="101">
      <c r="A101" s="4" t="n">
        <v>97</v>
      </c>
      <c r="B101" s="5" t="inlineStr">
        <is>
          <t>Marketing / Conversión</t>
        </is>
      </c>
      <c r="C101" s="6" t="inlineStr">
        <is>
          <t>Decidir precio en ARS prominente y USD como referencia</t>
        </is>
      </c>
      <c r="D101" s="4" t="inlineStr">
        <is>
          <t>Media</t>
        </is>
      </c>
      <c r="E101" s="7" t="inlineStr">
        <is>
          <t>Pendiente</t>
        </is>
      </c>
      <c r="F101" s="6" t="inlineStr">
        <is>
          <t>Deepseek; toca la decisión de negocio de cobro al MEP en USD</t>
        </is>
      </c>
      <c r="G101" s="5" t="inlineStr">
        <is>
          <t>2026-06-22</t>
        </is>
      </c>
    </row>
  </sheetData>
  <autoFilter ref="A4:G101"/>
  <mergeCells count="2">
    <mergeCell ref="A2:G2"/>
    <mergeCell ref="A1:G1"/>
  </mergeCells>
  <conditionalFormatting sqref="A5:G101">
    <cfRule type="expression" priority="1" dxfId="0">
      <formula>$E5="Hecho"</formula>
    </cfRule>
    <cfRule type="expression" priority="2" dxfId="1">
      <formula>$E5="En progreso"</formula>
    </cfRule>
    <cfRule type="expression" priority="3" dxfId="2">
      <formula>$E5="Pendiente"</formula>
    </cfRule>
  </conditionalFormatting>
  <dataValidations count="2">
    <dataValidation sqref="E5:E101" showDropDown="0" showInputMessage="0" showErrorMessage="0" allowBlank="0" type="list">
      <formula1>"Hecho,En progreso,Pendiente"</formula1>
    </dataValidation>
    <dataValidation sqref="D5:D101" showDropDown="0" showInputMessage="0" showErrorMessage="0" allowBlank="1" type="list">
      <formula1>"Alta,Media,Baja,—"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</cols>
  <sheetData>
    <row r="1" ht="26" customHeight="1">
      <c r="A1" s="8" t="inlineStr">
        <is>
          <t>Resumen del Roadmap</t>
        </is>
      </c>
    </row>
    <row r="3">
      <c r="A3" s="9" t="inlineStr">
        <is>
          <t>Estado</t>
        </is>
      </c>
      <c r="B3" s="9" t="inlineStr">
        <is>
          <t>Cantidad</t>
        </is>
      </c>
      <c r="C3" s="9" t="inlineStr">
        <is>
          <t>% del total</t>
        </is>
      </c>
    </row>
    <row r="4">
      <c r="A4" s="10" t="inlineStr">
        <is>
          <t>Hecho</t>
        </is>
      </c>
      <c r="B4">
        <f>COUNTIF(Roadmap!$E$5:$E$101,A4)</f>
        <v/>
      </c>
      <c r="C4" s="11">
        <f>IFERROR(B4/$B$7,0)</f>
        <v/>
      </c>
    </row>
    <row r="5">
      <c r="A5" s="12" t="inlineStr">
        <is>
          <t>En progreso</t>
        </is>
      </c>
      <c r="B5">
        <f>COUNTIF(Roadmap!$E$5:$E$101,A5)</f>
        <v/>
      </c>
      <c r="C5" s="11">
        <f>IFERROR(B5/$B$7,0)</f>
        <v/>
      </c>
    </row>
    <row r="6">
      <c r="A6" s="13" t="inlineStr">
        <is>
          <t>Pendiente</t>
        </is>
      </c>
      <c r="B6">
        <f>COUNTIF(Roadmap!$E$5:$E$101,A6)</f>
        <v/>
      </c>
      <c r="C6" s="11">
        <f>IFERROR(B6/$B$7,0)</f>
        <v/>
      </c>
    </row>
    <row r="7">
      <c r="A7" s="14" t="inlineStr">
        <is>
          <t>TOTAL</t>
        </is>
      </c>
      <c r="B7" s="14">
        <f>COUNTA(Roadmap!$E$5:$E$101)</f>
        <v/>
      </c>
    </row>
    <row r="10">
      <c r="A10" s="9" t="inlineStr">
        <is>
          <t>Categoría</t>
        </is>
      </c>
      <c r="B10" s="9" t="inlineStr">
        <is>
          <t>Hecho</t>
        </is>
      </c>
      <c r="C10" s="9" t="inlineStr">
        <is>
          <t>Pendiente/En curso</t>
        </is>
      </c>
    </row>
    <row r="11">
      <c r="A11" t="inlineStr">
        <is>
          <t>Infraestructura</t>
        </is>
      </c>
      <c r="B11">
        <f>COUNTIFS(Roadmap!$B$5:$B$101,A11,Roadmap!$E$5:$E$101,"Hecho")</f>
        <v/>
      </c>
      <c r="C11">
        <f>COUNTIFS(Roadmap!$B$5:$B$101,A11)-B11</f>
        <v/>
      </c>
    </row>
    <row r="12">
      <c r="A12" t="inlineStr">
        <is>
          <t>Base de datos</t>
        </is>
      </c>
      <c r="B12">
        <f>COUNTIFS(Roadmap!$B$5:$B$101,A12,Roadmap!$E$5:$E$101,"Hecho")</f>
        <v/>
      </c>
      <c r="C12">
        <f>COUNTIFS(Roadmap!$B$5:$B$101,A12)-B12</f>
        <v/>
      </c>
    </row>
    <row r="13">
      <c r="A13" t="inlineStr">
        <is>
          <t>Auth</t>
        </is>
      </c>
      <c r="B13">
        <f>COUNTIFS(Roadmap!$B$5:$B$101,A13,Roadmap!$E$5:$E$101,"Hecho")</f>
        <v/>
      </c>
      <c r="C13">
        <f>COUNTIFS(Roadmap!$B$5:$B$101,A13)-B13</f>
        <v/>
      </c>
    </row>
    <row r="14">
      <c r="A14" t="inlineStr">
        <is>
          <t>Productos</t>
        </is>
      </c>
      <c r="B14">
        <f>COUNTIFS(Roadmap!$B$5:$B$101,A14,Roadmap!$E$5:$E$101,"Hecho")</f>
        <v/>
      </c>
      <c r="C14">
        <f>COUNTIFS(Roadmap!$B$5:$B$101,A14)-B14</f>
        <v/>
      </c>
    </row>
    <row r="15">
      <c r="A15" t="inlineStr">
        <is>
          <t>Clientes</t>
        </is>
      </c>
      <c r="B15">
        <f>COUNTIFS(Roadmap!$B$5:$B$101,A15,Roadmap!$E$5:$E$101,"Hecho")</f>
        <v/>
      </c>
      <c r="C15">
        <f>COUNTIFS(Roadmap!$B$5:$B$101,A15)-B15</f>
        <v/>
      </c>
    </row>
    <row r="16">
      <c r="A16" t="inlineStr">
        <is>
          <t>Ventas / POS</t>
        </is>
      </c>
      <c r="B16">
        <f>COUNTIFS(Roadmap!$B$5:$B$101,A16,Roadmap!$E$5:$E$101,"Hecho")</f>
        <v/>
      </c>
      <c r="C16">
        <f>COUNTIFS(Roadmap!$B$5:$B$101,A16)-B16</f>
        <v/>
      </c>
    </row>
    <row r="17">
      <c r="A17" t="inlineStr">
        <is>
          <t>Cuenta Corriente</t>
        </is>
      </c>
      <c r="B17">
        <f>COUNTIFS(Roadmap!$B$5:$B$101,A17,Roadmap!$E$5:$E$101,"Hecho")</f>
        <v/>
      </c>
      <c r="C17">
        <f>COUNTIFS(Roadmap!$B$5:$B$101,A17)-B17</f>
        <v/>
      </c>
    </row>
    <row r="18">
      <c r="A18" t="inlineStr">
        <is>
          <t>Reportes</t>
        </is>
      </c>
      <c r="B18">
        <f>COUNTIFS(Roadmap!$B$5:$B$101,A18,Roadmap!$E$5:$E$101,"Hecho")</f>
        <v/>
      </c>
      <c r="C18">
        <f>COUNTIFS(Roadmap!$B$5:$B$101,A18)-B18</f>
        <v/>
      </c>
    </row>
    <row r="19">
      <c r="A19" t="inlineStr">
        <is>
          <t>Presupuestos</t>
        </is>
      </c>
      <c r="B19">
        <f>COUNTIFS(Roadmap!$B$5:$B$101,A19,Roadmap!$E$5:$E$101,"Hecho")</f>
        <v/>
      </c>
      <c r="C19">
        <f>COUNTIFS(Roadmap!$B$5:$B$101,A19)-B19</f>
        <v/>
      </c>
    </row>
    <row r="20">
      <c r="A20" t="inlineStr">
        <is>
          <t>Proveedores / Pedidos</t>
        </is>
      </c>
      <c r="B20">
        <f>COUNTIFS(Roadmap!$B$5:$B$101,A20,Roadmap!$E$5:$E$101,"Hecho")</f>
        <v/>
      </c>
      <c r="C20">
        <f>COUNTIFS(Roadmap!$B$5:$B$101,A20)-B20</f>
        <v/>
      </c>
    </row>
    <row r="21">
      <c r="A21" t="inlineStr">
        <is>
          <t>Configuración / Equipo</t>
        </is>
      </c>
      <c r="B21">
        <f>COUNTIFS(Roadmap!$B$5:$B$101,A21,Roadmap!$E$5:$E$101,"Hecho")</f>
        <v/>
      </c>
      <c r="C21">
        <f>COUNTIFS(Roadmap!$B$5:$B$101,A21)-B21</f>
        <v/>
      </c>
    </row>
    <row r="22">
      <c r="A22" t="inlineStr">
        <is>
          <t>UX / Diseño</t>
        </is>
      </c>
      <c r="B22">
        <f>COUNTIFS(Roadmap!$B$5:$B$101,A22,Roadmap!$E$5:$E$101,"Hecho")</f>
        <v/>
      </c>
      <c r="C22">
        <f>COUNTIFS(Roadmap!$B$5:$B$101,A22)-B22</f>
        <v/>
      </c>
    </row>
    <row r="23">
      <c r="A23" t="inlineStr">
        <is>
          <t>Negocio SaaS</t>
        </is>
      </c>
      <c r="B23">
        <f>COUNTIFS(Roadmap!$B$5:$B$101,A23,Roadmap!$E$5:$E$101,"Hecho")</f>
        <v/>
      </c>
      <c r="C23">
        <f>COUNTIFS(Roadmap!$B$5:$B$101,A23)-B23</f>
        <v/>
      </c>
    </row>
    <row r="24">
      <c r="A24" t="inlineStr">
        <is>
          <t>Lanzamiento (bloqueante)</t>
        </is>
      </c>
      <c r="B24">
        <f>COUNTIFS(Roadmap!$B$5:$B$101,A24,Roadmap!$E$5:$E$101,"Hecho")</f>
        <v/>
      </c>
      <c r="C24">
        <f>COUNTIFS(Roadmap!$B$5:$B$101,A24)-B24</f>
        <v/>
      </c>
    </row>
    <row r="25">
      <c r="A25" t="inlineStr">
        <is>
          <t>Calidad / Seguridad</t>
        </is>
      </c>
      <c r="B25">
        <f>COUNTIFS(Roadmap!$B$5:$B$101,A25,Roadmap!$E$5:$E$101,"Hecho")</f>
        <v/>
      </c>
      <c r="C25">
        <f>COUNTIFS(Roadmap!$B$5:$B$101,A25)-B25</f>
        <v/>
      </c>
    </row>
    <row r="26">
      <c r="A26" t="inlineStr">
        <is>
          <t>Legal / Fiscal</t>
        </is>
      </c>
      <c r="B26">
        <f>COUNTIFS(Roadmap!$B$5:$B$101,A26,Roadmap!$E$5:$E$101,"Hecho")</f>
        <v/>
      </c>
      <c r="C26">
        <f>COUNTIFS(Roadmap!$B$5:$B$101,A26)-B26</f>
        <v/>
      </c>
    </row>
    <row r="27">
      <c r="A27" t="inlineStr">
        <is>
          <t>Infra / Escalado</t>
        </is>
      </c>
      <c r="B27">
        <f>COUNTIFS(Roadmap!$B$5:$B$101,A27,Roadmap!$E$5:$E$101,"Hecho")</f>
        <v/>
      </c>
      <c r="C27">
        <f>COUNTIFS(Roadmap!$B$5:$B$101,A27)-B27</f>
        <v/>
      </c>
    </row>
    <row r="28">
      <c r="A28" t="inlineStr">
        <is>
          <t>Backlog / Ideas</t>
        </is>
      </c>
      <c r="B28">
        <f>COUNTIFS(Roadmap!$B$5:$B$101,A28,Roadmap!$E$5:$E$101,"Hecho")</f>
        <v/>
      </c>
      <c r="C28">
        <f>COUNTIFS(Roadmap!$B$5:$B$101,A28)-B28</f>
        <v/>
      </c>
    </row>
    <row r="29">
      <c r="A29" t="inlineStr">
        <is>
          <t>Versiones / Verticales</t>
        </is>
      </c>
      <c r="B29">
        <f>COUNTIFS(Roadmap!$B$5:$B$101,A29,Roadmap!$E$5:$E$101,"Hecho")</f>
        <v/>
      </c>
      <c r="C29">
        <f>COUNTIFS(Roadmap!$B$5:$B$101,A29)-B29</f>
        <v/>
      </c>
    </row>
    <row r="30">
      <c r="A30" t="inlineStr">
        <is>
          <t>Roadmap v2</t>
        </is>
      </c>
      <c r="B30">
        <f>COUNTIFS(Roadmap!$B$5:$B$101,A30,Roadmap!$E$5:$E$101,"Hecho")</f>
        <v/>
      </c>
      <c r="C30">
        <f>COUNTIFS(Roadmap!$B$5:$B$101,A30)-B30</f>
        <v/>
      </c>
    </row>
    <row r="31">
      <c r="A31" t="inlineStr">
        <is>
          <t>Marketing / Conversión</t>
        </is>
      </c>
      <c r="B31">
        <f>COUNTIFS(Roadmap!$B$5:$B$101,A31,Roadmap!$E$5:$E$101,"Hecho")</f>
        <v/>
      </c>
      <c r="C31">
        <f>COUNTIFS(Roadmap!$B$5:$B$101,A31)-B31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2026-06-22T05:26:29Z</dcterms:created>
  <dcterms:modified xmlns:dcterms="http://purl.org/dc/terms/" xmlns:xsi="http://www.w3.org/2001/XMLSchema-instance" xsi:type="dcterms:W3CDTF">2026-06-22T05:26:29Z</dcterms:modified>
</cp:coreProperties>
</file>