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2026-06-22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2026-06-22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2026-06-22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2026-06-22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2026-06-22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2026-06-22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2026-06-22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2026-06-22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2026-06-22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2026-06-22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2026-06-22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2026-06-22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2026-06-22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2026-06-22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2026-06-22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2026-06-22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2026-06-22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2026-06-22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2026-06-22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2026-06-22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2026-06-22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2026-06-22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2026-06-22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2026-06-22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2026-06-22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2026-06-22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2026-06-22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2026-06-22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2026-06-22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2026-06-22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2026-06-22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2026-06-22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2026-06-22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2026-06-22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2026-06-22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2026-06-22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2026-06-22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2026-06-22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2026-06-22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2026-06-22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2026-06-22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2026-06-22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2026-06-22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2026-06-22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2026-06-22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2026-06-22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Nomenclatura: los modos se presentan como 'versión' al usuario (Market, Servicios, etc.)</t>
        </is>
      </c>
      <c r="D50" s="4" t="inlineStr">
        <is>
          <t>—</t>
        </is>
      </c>
      <c r="E50" s="7" t="inlineStr">
        <is>
          <t>Hecho</t>
        </is>
      </c>
      <c r="F50" s="6" t="inlineStr">
        <is>
          <t>Landing (switcher, precios, cierre) + /planes + confirmación de transferencia; se usan los nombres reales de los planes (Market, no inventados como 'Kiosco')</t>
        </is>
      </c>
      <c r="G50" s="5" t="inlineStr">
        <is>
          <t>2026-06-22</t>
        </is>
      </c>
    </row>
    <row r="51">
      <c r="A51" s="4" t="n">
        <v>47</v>
      </c>
      <c r="B51" s="5" t="inlineStr">
        <is>
          <t>UX / Diseño</t>
        </is>
      </c>
      <c r="C51" s="6" t="inlineStr">
        <is>
          <t>Dark / light toggle</t>
        </is>
      </c>
      <c r="D51" s="4" t="inlineStr">
        <is>
          <t>Baja</t>
        </is>
      </c>
      <c r="E51" s="7" t="inlineStr">
        <is>
          <t>Pendiente</t>
        </is>
      </c>
      <c r="F51" s="6" t="inlineStr"/>
      <c r="G51" s="5" t="inlineStr">
        <is>
          <t>2026-06-22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4 planes + Mercado Pago preapproval + webhook activación/suspensión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src/lib/planes.ts</t>
        </is>
      </c>
      <c r="G52" s="5" t="inlineStr">
        <is>
          <t>2026-06-22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por transferencia (panel admin + aviso cliente + comprobante por email)</t>
        </is>
      </c>
      <c r="D53" s="4" t="inlineStr">
        <is>
          <t>—</t>
        </is>
      </c>
      <c r="E53" s="7" t="inlineStr">
        <is>
          <t>Hecho</t>
        </is>
      </c>
      <c r="F53" s="6" t="inlineStr">
        <is>
          <t>Activación manual 1-click; /admin/suscripciones; emails salen al cargar RESEND_API_KEY</t>
        </is>
      </c>
      <c r="G53" s="5" t="inlineStr">
        <is>
          <t>2026-06-22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Cobro automático MP/Mobbex (CUIT Monotributo + cuenta)</t>
        </is>
      </c>
      <c r="D54" s="4" t="inlineStr">
        <is>
          <t>Alta</t>
        </is>
      </c>
      <c r="E54" s="7" t="inlineStr">
        <is>
          <t>En progreso</t>
        </is>
      </c>
      <c r="F54" s="6" t="inlineStr">
        <is>
          <t>Bloqueado: falta CUIT + cuenta. Mientras tanto se cobra por transferencia</t>
        </is>
      </c>
      <c r="G54" s="5" t="inlineStr">
        <is>
          <t>2026-06-22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Panel super-admin (gestionar tenants, métricas cross-tenant)</t>
        </is>
      </c>
      <c r="D55" s="4" t="inlineStr">
        <is>
          <t>Media</t>
        </is>
      </c>
      <c r="E55" s="7" t="inlineStr">
        <is>
          <t>En progreso</t>
        </is>
      </c>
      <c r="F55" s="6" t="inlineStr">
        <is>
          <t>Panel /admin/suscripciones operativo; faltan métricas cross-tenant</t>
        </is>
      </c>
      <c r="G55" s="5" t="inlineStr">
        <is>
          <t>2026-06-22</t>
        </is>
      </c>
    </row>
    <row r="56">
      <c r="A56" s="4" t="n">
        <v>52</v>
      </c>
      <c r="B56" s="5" t="inlineStr">
        <is>
          <t>Negocio SaaS</t>
        </is>
      </c>
      <c r="C56" s="6" t="inlineStr">
        <is>
          <t>Catálogo global cross-tenant</t>
        </is>
      </c>
      <c r="D56" s="4" t="inlineStr">
        <is>
          <t>Baja</t>
        </is>
      </c>
      <c r="E56" s="7" t="inlineStr">
        <is>
          <t>Pendiente</t>
        </is>
      </c>
      <c r="F56" s="6" t="inlineStr">
        <is>
          <t>Necesita OK explícito antes de implementar</t>
        </is>
      </c>
      <c r="G56" s="5" t="inlineStr">
        <is>
          <t>2026-06-22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Dominio propio (ej: usegesto.app)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URL actual no es presentable</t>
        </is>
      </c>
      <c r="G57" s="5" t="inlineStr">
        <is>
          <t>2026-06-22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SMTP con Resend (invitación, bienvenida, reset con branding)</t>
        </is>
      </c>
      <c r="D58" s="4" t="inlineStr">
        <is>
          <t>Alta</t>
        </is>
      </c>
      <c r="E58" s="7" t="inlineStr">
        <is>
          <t>Pendiente</t>
        </is>
      </c>
      <c r="F58" s="6" t="inlineStr">
        <is>
          <t>Cron listo; falta RESEND_API_KEY en Vercel (rotar la vieja)</t>
        </is>
      </c>
      <c r="G58" s="5" t="inlineStr">
        <is>
          <t>2026-06-22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Landing page pública (adaptativa por versión + demo en vivo)</t>
        </is>
      </c>
      <c r="D59" s="4" t="inlineStr">
        <is>
          <t>Alta</t>
        </is>
      </c>
      <c r="E59" s="7" t="inlineStr">
        <is>
          <t>Hecho</t>
        </is>
      </c>
      <c r="F59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9" s="5" t="inlineStr">
        <is>
          <t>2026-06-22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PWA manifest + iconos (192/512, apple-touch-icon)</t>
        </is>
      </c>
      <c r="D60" s="4" t="inlineStr">
        <is>
          <t>Alta</t>
        </is>
      </c>
      <c r="E60" s="7" t="inlineStr">
        <is>
          <t>Pendiente</t>
        </is>
      </c>
      <c r="F60" s="6" t="inlineStr">
        <is>
          <t>POS se usa en tablet/celular</t>
        </is>
      </c>
      <c r="G60" s="5" t="inlineStr">
        <is>
          <t>2026-06-22</t>
        </is>
      </c>
    </row>
    <row r="61">
      <c r="A61" s="4" t="n">
        <v>57</v>
      </c>
      <c r="B61" s="5" t="inlineStr">
        <is>
          <t>Lanzamiento (bloqueante)</t>
        </is>
      </c>
      <c r="C61" s="6" t="inlineStr">
        <is>
          <t>Términos de servicio + Política de privacidad</t>
        </is>
      </c>
      <c r="D61" s="4" t="inlineStr">
        <is>
          <t>Alta</t>
        </is>
      </c>
      <c r="E61" s="7" t="inlineStr">
        <is>
          <t>Hecho</t>
        </is>
      </c>
      <c r="F61" s="6" t="inlineStr">
        <is>
          <t>Páginas /legal/{terminos,privacidad,cookies,baja-de-datos} + links en footer + checkbox en signup. Prestador: Faro Sistemas (SIN datos fiscales por etapa pre-formalización; único contacto = email en constante CONTACTO_EMAIL, hoy el gmail). AL FORMALIZAR: cargar CUIT + domicilio + jurisdicción y que un abogado revise</t>
        </is>
      </c>
      <c r="G61" s="5" t="inlineStr">
        <is>
          <t>2026-06-22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Bugs críticos corregidos (stock al vender, numeración, loop /planes)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2026-06-22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ConfirmDialog reutilizable (reemplaza window.confirm en 9 comp.)</t>
        </is>
      </c>
      <c r="D63" s="4" t="inlineStr">
        <is>
          <t>—</t>
        </is>
      </c>
      <c r="E63" s="7" t="inlineStr">
        <is>
          <t>Hecho</t>
        </is>
      </c>
      <c r="F63" s="6" t="inlineStr"/>
      <c r="G63" s="5" t="inlineStr">
        <is>
          <t>2026-06-22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Verificar firma de webhook MP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Firma HMAC timing-safe + fail-closed en prod; cargar MP_WEBHOOK_SECRET en Vercel</t>
        </is>
      </c>
      <c r="G64" s="5" t="inlineStr">
        <is>
          <t>2026-06-22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Auditoría de seguridad E2E + fixes (IDOR token MP, recibirPedido, escalación de rol, OAuth state, crons fail-closed, escape de emails)</t>
        </is>
      </c>
      <c r="D65" s="4" t="inlineStr">
        <is>
          <t>—</t>
        </is>
      </c>
      <c r="E65" s="7" t="inlineStr">
        <is>
          <t>Hecho</t>
        </is>
      </c>
      <c r="F65" s="6" t="inlineStr">
        <is>
          <t>Guard test anti-omisión de byTenant; ver project_gesto_seguridad. RLS no protege capa app (byTenant única defensa)</t>
        </is>
      </c>
      <c r="G65" s="5" t="inlineStr">
        <is>
          <t>2026-06-22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Rate limiting en auth (login/signup)</t>
        </is>
      </c>
      <c r="D66" s="4" t="inlineStr">
        <is>
          <t>Media</t>
        </is>
      </c>
      <c r="E66" s="7" t="inlineStr">
        <is>
          <t>Pendiente</t>
        </is>
      </c>
      <c r="F66" s="6" t="inlineStr">
        <is>
          <t>ej: @upstash/ratelimit</t>
        </is>
      </c>
      <c r="G66" s="5" t="inlineStr">
        <is>
          <t>2026-06-22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Tests de integración (flows de venta y producto)</t>
        </is>
      </c>
      <c r="D67" s="4" t="inlineStr">
        <is>
          <t>Media</t>
        </is>
      </c>
      <c r="E67" s="7" t="inlineStr">
        <is>
          <t>Pendiente</t>
        </is>
      </c>
      <c r="F67" s="6" t="inlineStr"/>
      <c r="G67" s="5" t="inlineStr">
        <is>
          <t>2026-06-22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Export de datos (CSV ventas / inventario)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Que el cliente no sienta lock-in</t>
        </is>
      </c>
      <c r="G68" s="5" t="inlineStr">
        <is>
          <t>2026-06-22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Facturación AFIP (Tusfacturas.app, A/B)</t>
        </is>
      </c>
      <c r="D69" s="4" t="inlineStr">
        <is>
          <t>Media</t>
        </is>
      </c>
      <c r="E69" s="7" t="inlineStr">
        <is>
          <t>Pendiente</t>
        </is>
      </c>
      <c r="F69" s="6" t="inlineStr">
        <is>
          <t>Bloqueante segmento servicios/mayorista</t>
        </is>
      </c>
      <c r="G69" s="5" t="inlineStr">
        <is>
          <t>2026-06-22</t>
        </is>
      </c>
    </row>
    <row r="70">
      <c r="A70" s="4" t="n">
        <v>66</v>
      </c>
      <c r="B70" s="5" t="inlineStr">
        <is>
          <t>Calidad / Seguridad</t>
        </is>
      </c>
      <c r="C70" s="6" t="inlineStr">
        <is>
          <t>Historial de auditoría básico (quién creó/modificó)</t>
        </is>
      </c>
      <c r="D70" s="4" t="inlineStr">
        <is>
          <t>Baja</t>
        </is>
      </c>
      <c r="E70" s="7" t="inlineStr">
        <is>
          <t>Pendiente</t>
        </is>
      </c>
      <c r="F70" s="6" t="inlineStr">
        <is>
          <t>Mínimo en productos y ventas</t>
        </is>
      </c>
      <c r="G70" s="5" t="inlineStr">
        <is>
          <t>2026-06-22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CUIT + Monotributo (o Responsable Inscripto)</t>
        </is>
      </c>
      <c r="D71" s="4" t="inlineStr">
        <is>
          <t>Alta</t>
        </is>
      </c>
      <c r="E71" s="7" t="inlineStr">
        <is>
          <t>Pendiente</t>
        </is>
      </c>
      <c r="F71" s="6" t="inlineStr">
        <is>
          <t>Bloquea cobrar en regla; ojo el tope anual de Monotributo con ingresos SaaS recurrentes</t>
        </is>
      </c>
      <c r="G71" s="5" t="inlineStr">
        <is>
          <t>2026-06-22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Registro de bases de datos ante la AAIP (Ley 25.326)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Sos responsable de la PII de los clientes y de SUS clientes</t>
        </is>
      </c>
      <c r="G72" s="5" t="inlineStr">
        <is>
          <t>2026-06-22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Botón de baja + arrepentimiento de suscripción (Res. 424/2020)</t>
        </is>
      </c>
      <c r="D73" s="4" t="inlineStr">
        <is>
          <t>Media</t>
        </is>
      </c>
      <c r="E73" s="7" t="inlineStr">
        <is>
          <t>En progreso</t>
        </is>
      </c>
      <c r="F73" s="6" t="inlineStr">
        <is>
          <t>Ya existe cancelarSuscripcion + página /legal/baja-de-datos que explica el proceso; falta el botón de arrepentimiento bien visible</t>
        </is>
      </c>
      <c r="G73" s="5" t="inlineStr">
        <is>
          <t>2026-06-22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Cláusulas de transferencia internacional de datos</t>
        </is>
      </c>
      <c r="D74" s="4" t="inlineStr">
        <is>
          <t>Baja</t>
        </is>
      </c>
      <c r="E74" s="7" t="inlineStr">
        <is>
          <t>Pendiente</t>
        </is>
      </c>
      <c r="F74" s="6" t="inlineStr">
        <is>
          <t>Datos en AWS us-east-1; Ley 25.326 exige resguardos (EE.UU. no es país adecuado por defecto)</t>
        </is>
      </c>
      <c r="G74" s="5" t="inlineStr">
        <is>
          <t>2026-06-22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Estructura societaria (SAS) + acuerdo escrito con socio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Separa patrimonio del riesgo; formaliza la participación de Facu</t>
        </is>
      </c>
      <c r="G75" s="5" t="inlineStr">
        <is>
          <t>2026-06-22</t>
        </is>
      </c>
    </row>
    <row r="76">
      <c r="A76" s="4" t="n">
        <v>72</v>
      </c>
      <c r="B76" s="5" t="inlineStr">
        <is>
          <t>Legal / Fiscal</t>
        </is>
      </c>
      <c r="C76" s="6" t="inlineStr">
        <is>
          <t>Contrato de servicio / SLA con clientes</t>
        </is>
      </c>
      <c r="D76" s="4" t="inlineStr">
        <is>
          <t>Media</t>
        </is>
      </c>
      <c r="E76" s="7" t="inlineStr">
        <is>
          <t>Pendiente</t>
        </is>
      </c>
      <c r="F76" s="6" t="inlineStr">
        <is>
          <t>Dueño de los datos (el cliente), uptime, soporte, límite de responsabilidad</t>
        </is>
      </c>
      <c r="G76" s="5" t="inlineStr">
        <is>
          <t>2026-06-22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Vercel Pro + Supabase Pro</t>
        </is>
      </c>
      <c r="D77" s="4" t="inlineStr">
        <is>
          <t>Alta</t>
        </is>
      </c>
      <c r="E77" s="7" t="inlineStr">
        <is>
          <t>Pendiente</t>
        </is>
      </c>
      <c r="F77" s="6" t="inlineStr">
        <is>
          <t>Vercel Hobby es no comercial; Supabase Free se pausa a los 7 días. Bloquea producción real</t>
        </is>
      </c>
      <c r="G77" s="5" t="inlineStr">
        <is>
          <t>2026-06-22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Backups diarios + PITR + probar un restore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Un backup sin restore probado no es un backup</t>
        </is>
      </c>
      <c r="G78" s="5" t="inlineStr">
        <is>
          <t>2026-06-22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Monitoreo: activar Sentry + uptime check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SENTRY_DSN ya está en el build, falta activarlo + un cron canario</t>
        </is>
      </c>
      <c r="G79" s="5" t="inlineStr">
        <is>
          <t>2026-06-22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Email deliverability: dominio + SPF/DKIM/DMARC (Resend)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Si no, comprobantes y facturas caen en spam</t>
        </is>
      </c>
      <c r="G80" s="5" t="inlineStr">
        <is>
          <t>2026-06-22</t>
        </is>
      </c>
    </row>
    <row r="81">
      <c r="A81" s="4" t="n">
        <v>77</v>
      </c>
      <c r="B81" s="5" t="inlineStr">
        <is>
          <t>Infra / Escalado</t>
        </is>
      </c>
      <c r="C81" s="6" t="inlineStr">
        <is>
          <t>Encriptar tokens MP del negocio at-rest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Hoy en texto plano en tenants (hallazgo de seguridad #9)</t>
        </is>
      </c>
      <c r="G81" s="5" t="inlineStr">
        <is>
          <t>2026-06-22</t>
        </is>
      </c>
    </row>
    <row r="82">
      <c r="A82" s="4" t="n">
        <v>78</v>
      </c>
      <c r="B82" s="5" t="inlineStr">
        <is>
          <t>Backlog / Ideas</t>
        </is>
      </c>
      <c r="C82" s="6" t="inlineStr">
        <is>
          <t>Consultor de precios para cliente final (pantalla pública con QR)</t>
        </is>
      </c>
      <c r="D82" s="4" t="inlineStr">
        <is>
          <t>Media</t>
        </is>
      </c>
      <c r="E82" s="7" t="inlineStr">
        <is>
          <t>Pendiente</t>
        </is>
      </c>
      <c r="F82" s="6" t="inlineStr">
        <is>
          <t>Diferenciador único; ruta /p/[tenantSlug]</t>
        </is>
      </c>
      <c r="G82" s="5" t="inlineStr">
        <is>
          <t>2026-06-22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Mejorar login/registro: sumarle contenido útil (hoy se siente vacío)</t>
        </is>
      </c>
      <c r="D83" s="4" t="inlineStr">
        <is>
          <t>Media</t>
        </is>
      </c>
      <c r="E83" s="7" t="inlineStr">
        <is>
          <t>Hecho</t>
        </is>
      </c>
      <c r="F83" s="6" t="inlineStr">
        <is>
          <t>Split de marca + recuperación de contraseña ya estaban. Sumado: ver/ocultar contraseña (PasswordInput) en login/signup/reset, errores específicos (email sin confirmar, rate-limit, email ya registrado), pie con Términos/Privacidad/ayuda por mail, indicador de fuerza de contraseña</t>
        </is>
      </c>
      <c r="G83" s="5" t="inlineStr">
        <is>
          <t>2026-06-22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Balanza funcional: integración con balanza digital + venta por peso</t>
        </is>
      </c>
      <c r="D84" s="4" t="inlineStr">
        <is>
          <t>Alta</t>
        </is>
      </c>
      <c r="E84" s="7" t="inlineStr">
        <is>
          <t>Hecho</t>
        </is>
      </c>
      <c r="F84" s="6" t="inlineStr">
        <is>
          <t>POS con venta por peso: modal de gramos (atajos 250/500/1000 g + subtotal en vivo), edición de peso en carrito, y lectura de etiquetas de balanza con peso embebido (EAN-13 prefijo 2 -&gt; PLU + peso). Página /dashboard/balanza con guía de 3 pasos. Plan habilitado (proximamente:false) y nav activo. Pendiente futuro: configurar el formato exacto de etiqueta por marca de balanza</t>
        </is>
      </c>
      <c r="G84" s="5" t="inlineStr">
        <is>
          <t>2026-06-22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Food: POS propio (comandas, mesas, cocina/KDS) — muy distinto a Market</t>
        </is>
      </c>
      <c r="D85" s="4" t="inlineStr">
        <is>
          <t>Alta</t>
        </is>
      </c>
      <c r="E85" s="7" t="inlineStr">
        <is>
          <t>Pendiente</t>
        </is>
      </c>
      <c r="F85" s="6" t="inlineStr">
        <is>
          <t>Hoy figura 'próximamente'</t>
        </is>
      </c>
      <c r="G85" s="5" t="inlineStr">
        <is>
          <t>2026-06-22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Servicios: emitir boletas además de presupuestos + simplificar botones/UI</t>
        </is>
      </c>
      <c r="D86" s="4" t="inlineStr">
        <is>
          <t>Alta</t>
        </is>
      </c>
      <c r="E86" s="7" t="inlineStr">
        <is>
          <t>Hecho</t>
        </is>
      </c>
      <c r="F86" s="6" t="inlineStr">
        <is>
          <t>Form de presupuesto simplificado + BOLETAS de punta a punta: boleta directa (form modo boleta con método de pago), numeración propia, lista /dashboard/boletas + nav, detalle adaptado y PDF como RECIBO. Migración 0009 aplicada en dev+prod. Comprobante NO fiscal. Botón 'Emitir recibo' desde un presupuesto cobrado HECHO (PDF como recibo, sin duplicar ingreso). Pendiente menor: seguir puliendo UI</t>
        </is>
      </c>
      <c r="G86" s="5" t="inlineStr">
        <is>
          <t>2026-06-22</t>
        </is>
      </c>
    </row>
    <row r="87">
      <c r="A87" s="4" t="n">
        <v>83</v>
      </c>
      <c r="B87" s="5" t="inlineStr">
        <is>
          <t>Versiones / Verticales</t>
        </is>
      </c>
      <c r="C87" s="6" t="inlineStr">
        <is>
          <t>Gesto Atmosféricos: historial, agenda y pedidos para días futuros + arreglar ruta en Maps</t>
        </is>
      </c>
      <c r="D87" s="4" t="inlineStr">
        <is>
          <t>Alta</t>
        </is>
      </c>
      <c r="E87" s="7" t="inlineStr">
        <is>
          <t>Hecho</t>
        </is>
      </c>
      <c r="F87" s="6" t="inlineStr">
        <is>
          <t>Historial ya existía; AGENDA (navegación entre días) + pedidos para días futuros HECHO. Maps ARREGLADO: campo 'ubicación exacta' (link de Maps) por pedido; geo.ts extrae coordenadas del link y la ruta usa el punto exacto en vez del texto. Migración 0010 en dev+prod</t>
        </is>
      </c>
      <c r="G87" s="5" t="inlineStr">
        <is>
          <t>2026-06-22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Modificadores por ítem en POS (extras, variantes)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2026-06-22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App mobile nativa con Capacitor (offline first)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2026-06-22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Notificaciones push (stock, pedidos)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2026-06-22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Dashboard financiero avanzado (márgenes, rentabilidad)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2026-06-22</t>
        </is>
      </c>
    </row>
    <row r="92">
      <c r="A92" s="4" t="n">
        <v>88</v>
      </c>
      <c r="B92" s="5" t="inlineStr">
        <is>
          <t>Roadmap v2</t>
        </is>
      </c>
      <c r="C92" s="6" t="inlineStr">
        <is>
          <t>Multi-sucursal (varios locales bajo una cuenta madre)</t>
        </is>
      </c>
      <c r="D92" s="4" t="inlineStr">
        <is>
          <t>Baja</t>
        </is>
      </c>
      <c r="E92" s="7" t="inlineStr">
        <is>
          <t>Pendiente</t>
        </is>
      </c>
      <c r="F92" s="6" t="inlineStr"/>
      <c r="G92" s="5" t="inlineStr">
        <is>
          <t>2026-06-22</t>
        </is>
      </c>
    </row>
    <row r="93">
      <c r="A93" s="4" t="n">
        <v>89</v>
      </c>
      <c r="B93" s="5" t="inlineStr">
        <is>
          <t>Marketing / Conversión</t>
        </is>
      </c>
      <c r="C93" s="6" t="inlineStr">
        <is>
          <t>Registro en mini-wizard modal (versión -&gt; cuenta), sin mandar al login frío</t>
        </is>
      </c>
      <c r="D93" s="4" t="inlineStr">
        <is>
          <t>Alta</t>
        </is>
      </c>
      <c r="E93" s="7" t="inlineStr">
        <is>
          <t>Hecho</t>
        </is>
      </c>
      <c r="F93" s="6" t="inlineStr">
        <is>
          <t>Modal in-page (no popup) que abren los CTA 'Empezá gratis'. Paso 1 elegís versión, paso 2 creás cuenta; la versión se hereda al onboarding</t>
        </is>
      </c>
      <c r="G93" s="5" t="inlineStr">
        <is>
          <t>2026-06-22</t>
        </is>
      </c>
    </row>
    <row r="94">
      <c r="A94" s="4" t="n">
        <v>90</v>
      </c>
      <c r="B94" s="5" t="inlineStr">
        <is>
          <t>Marketing / Conversión</t>
        </is>
      </c>
      <c r="C94" s="6" t="inlineStr">
        <is>
          <t>Login con Google (OAuth)</t>
        </is>
      </c>
      <c r="D94" s="4" t="inlineStr">
        <is>
          <t>Alta</t>
        </is>
      </c>
      <c r="E94" s="7" t="inlineStr">
        <is>
          <t>En progreso</t>
        </is>
      </c>
      <c r="F94" s="6" t="inlineStr">
        <is>
          <t>Código cableado en el wizard y disponible. FALTA: habilitar el provider Google en Supabase (Auth -&gt; Providers) con credenciales de Google Cloud Console</t>
        </is>
      </c>
      <c r="G94" s="5" t="inlineStr">
        <is>
          <t>2026-06-22</t>
        </is>
      </c>
    </row>
    <row r="95">
      <c r="A95" s="4" t="n">
        <v>91</v>
      </c>
      <c r="B95" s="5" t="inlineStr">
        <is>
          <t>Marketing / Conversión</t>
        </is>
      </c>
      <c r="C95" s="6" t="inlineStr">
        <is>
          <t>Botón de WhatsApp flotante en la landing</t>
        </is>
      </c>
      <c r="D95" s="4" t="inlineStr">
        <is>
          <t>Alta</t>
        </is>
      </c>
      <c r="E95" s="7" t="inlineStr">
        <is>
          <t>Hecho</t>
        </is>
      </c>
      <c r="F95" s="6" t="inlineStr">
        <is>
          <t>Sugerido por Deepseek y Gemini. Número real cargado (wa.me/5491166644837), mensaje pre-cargado</t>
        </is>
      </c>
      <c r="G95" s="5" t="inlineStr">
        <is>
          <t>2026-06-22</t>
        </is>
      </c>
    </row>
    <row r="96">
      <c r="A96" s="4" t="n">
        <v>92</v>
      </c>
      <c r="B96" s="5" t="inlineStr">
        <is>
          <t>Marketing / Conversión</t>
        </is>
      </c>
      <c r="C96" s="6" t="inlineStr">
        <is>
          <t>Landing pages por vertical (/market, /atmosfericos, /balanza) para pauta en Meta Ads</t>
        </is>
      </c>
      <c r="D96" s="4" t="inlineStr">
        <is>
          <t>Alta</t>
        </is>
      </c>
      <c r="E96" s="7" t="inlineStr">
        <is>
          <t>Pendiente</t>
        </is>
      </c>
      <c r="F96" s="6" t="inlineStr">
        <is>
          <t>Gemini: la página de destino tiene que hablarle solo a ese rubro para no diluir la conversión</t>
        </is>
      </c>
      <c r="G96" s="5" t="inlineStr">
        <is>
          <t>2026-06-22</t>
        </is>
      </c>
    </row>
    <row r="97">
      <c r="A97" s="4" t="n">
        <v>93</v>
      </c>
      <c r="B97" s="5" t="inlineStr">
        <is>
          <t>Marketing / Conversión</t>
        </is>
      </c>
      <c r="C97" s="6" t="inlineStr">
        <is>
          <t>Dominio propio (ej. gesto.com.ar) apuntado en Vercel</t>
        </is>
      </c>
      <c r="D97" s="4" t="inlineStr">
        <is>
          <t>Alta</t>
        </is>
      </c>
      <c r="E97" s="7" t="inlineStr">
        <is>
          <t>Pendiente</t>
        </is>
      </c>
      <c r="F97" s="6" t="inlineStr">
        <is>
          <t>Gemini: faro-sistemas.vercel.app no transmite 'Gesto' y resta confianza</t>
        </is>
      </c>
      <c r="G97" s="5" t="inlineStr">
        <is>
          <t>2026-06-22</t>
        </is>
      </c>
    </row>
    <row r="98">
      <c r="A98" s="4" t="n">
        <v>94</v>
      </c>
      <c r="B98" s="5" t="inlineStr">
        <is>
          <t>Marketing / Conversión</t>
        </is>
      </c>
      <c r="C98" s="6" t="inlineStr">
        <is>
          <t>Nav de la landing con Versiones y Ayuda (hoy solo Precios)</t>
        </is>
      </c>
      <c r="D98" s="4" t="inlineStr">
        <is>
          <t>Media</t>
        </is>
      </c>
      <c r="E98" s="7" t="inlineStr">
        <is>
          <t>Pendiente</t>
        </is>
      </c>
      <c r="F98" s="6" t="inlineStr">
        <is>
          <t>Deepseek</t>
        </is>
      </c>
      <c r="G98" s="5" t="inlineStr">
        <is>
          <t>2026-06-22</t>
        </is>
      </c>
    </row>
    <row r="99">
      <c r="A99" s="4" t="n">
        <v>95</v>
      </c>
      <c r="B99" s="5" t="inlineStr">
        <is>
          <t>Marketing / Conversión</t>
        </is>
      </c>
      <c r="C99" s="6" t="inlineStr">
        <is>
          <t>Sello 'datos encriptados' + destacar '14 días sin tarjeta' como badge</t>
        </is>
      </c>
      <c r="D99" s="4" t="inlineStr">
        <is>
          <t>Media</t>
        </is>
      </c>
      <c r="E99" s="7" t="inlineStr">
        <is>
          <t>Pendiente</t>
        </is>
      </c>
      <c r="F99" s="6" t="inlineStr">
        <is>
          <t>Deepseek: confianza sin necesitar testimonios</t>
        </is>
      </c>
      <c r="G99" s="5" t="inlineStr">
        <is>
          <t>2026-06-22</t>
        </is>
      </c>
    </row>
    <row r="100">
      <c r="A100" s="4" t="n">
        <v>96</v>
      </c>
      <c r="B100" s="5" t="inlineStr">
        <is>
          <t>Marketing / Conversión</t>
        </is>
      </c>
      <c r="C100" s="6" t="inlineStr">
        <is>
          <t>Testimonios / casos de éxito</t>
        </is>
      </c>
      <c r="D100" s="4" t="inlineStr">
        <is>
          <t>Media</t>
        </is>
      </c>
      <c r="E100" s="7" t="inlineStr">
        <is>
          <t>Pendiente</t>
        </is>
      </c>
      <c r="F100" s="6" t="inlineStr">
        <is>
          <t>Dejar el espacio diseñado y llenarlo con los primeros clientes reales (no inventar)</t>
        </is>
      </c>
      <c r="G100" s="5" t="inlineStr">
        <is>
          <t>2026-06-22</t>
        </is>
      </c>
    </row>
    <row r="101">
      <c r="A101" s="4" t="n">
        <v>97</v>
      </c>
      <c r="B101" s="5" t="inlineStr">
        <is>
          <t>Marketing / Conversión</t>
        </is>
      </c>
      <c r="C101" s="6" t="inlineStr">
        <is>
          <t>Decidir precio en ARS prominente y USD como referencia</t>
        </is>
      </c>
      <c r="D101" s="4" t="inlineStr">
        <is>
          <t>Media</t>
        </is>
      </c>
      <c r="E101" s="7" t="inlineStr">
        <is>
          <t>Pendiente</t>
        </is>
      </c>
      <c r="F101" s="6" t="inlineStr">
        <is>
          <t>Deepseek; toca la decisión de negocio de cobro al MEP en USD</t>
        </is>
      </c>
      <c r="G101" s="5" t="inlineStr">
        <is>
          <t>2026-06-22</t>
        </is>
      </c>
    </row>
  </sheetData>
  <autoFilter ref="A4:G101"/>
  <mergeCells count="2">
    <mergeCell ref="A2:G2"/>
    <mergeCell ref="A1:G1"/>
  </mergeCells>
  <conditionalFormatting sqref="A5:G101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101" showDropDown="0" showInputMessage="0" showErrorMessage="0" allowBlank="0" type="list">
      <formula1>"Hecho,En progreso,Pendiente"</formula1>
    </dataValidation>
    <dataValidation sqref="D5:D101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COUNTIF(Roadmap!$E$5:$E$101,A4)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COUNTIF(Roadmap!$E$5:$E$101,A5)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COUNTIF(Roadmap!$E$5:$E$101,A6)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COUNTA(Roadmap!$E$5:$E$101)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COUNTIFS(Roadmap!$B$5:$B$101,A11,Roadmap!$E$5:$E$101,"Hecho")</f>
        <v/>
      </c>
      <c r="C11">
        <f>COUNTIFS(Roadmap!$B$5:$B$101,A11)-B11</f>
        <v/>
      </c>
    </row>
    <row r="12">
      <c r="A12" t="inlineStr">
        <is>
          <t>Base de datos</t>
        </is>
      </c>
      <c r="B12">
        <f>COUNTIFS(Roadmap!$B$5:$B$101,A12,Roadmap!$E$5:$E$101,"Hecho")</f>
        <v/>
      </c>
      <c r="C12">
        <f>COUNTIFS(Roadmap!$B$5:$B$101,A12)-B12</f>
        <v/>
      </c>
    </row>
    <row r="13">
      <c r="A13" t="inlineStr">
        <is>
          <t>Auth</t>
        </is>
      </c>
      <c r="B13">
        <f>COUNTIFS(Roadmap!$B$5:$B$101,A13,Roadmap!$E$5:$E$101,"Hecho")</f>
        <v/>
      </c>
      <c r="C13">
        <f>COUNTIFS(Roadmap!$B$5:$B$101,A13)-B13</f>
        <v/>
      </c>
    </row>
    <row r="14">
      <c r="A14" t="inlineStr">
        <is>
          <t>Productos</t>
        </is>
      </c>
      <c r="B14">
        <f>COUNTIFS(Roadmap!$B$5:$B$101,A14,Roadmap!$E$5:$E$101,"Hecho")</f>
        <v/>
      </c>
      <c r="C14">
        <f>COUNTIFS(Roadmap!$B$5:$B$101,A14)-B14</f>
        <v/>
      </c>
    </row>
    <row r="15">
      <c r="A15" t="inlineStr">
        <is>
          <t>Clientes</t>
        </is>
      </c>
      <c r="B15">
        <f>COUNTIFS(Roadmap!$B$5:$B$101,A15,Roadmap!$E$5:$E$101,"Hecho")</f>
        <v/>
      </c>
      <c r="C15">
        <f>COUNTIFS(Roadmap!$B$5:$B$101,A15)-B15</f>
        <v/>
      </c>
    </row>
    <row r="16">
      <c r="A16" t="inlineStr">
        <is>
          <t>Ventas / POS</t>
        </is>
      </c>
      <c r="B16">
        <f>COUNTIFS(Roadmap!$B$5:$B$101,A16,Roadmap!$E$5:$E$101,"Hecho")</f>
        <v/>
      </c>
      <c r="C16">
        <f>COUNTIFS(Roadmap!$B$5:$B$101,A16)-B16</f>
        <v/>
      </c>
    </row>
    <row r="17">
      <c r="A17" t="inlineStr">
        <is>
          <t>Cuenta Corriente</t>
        </is>
      </c>
      <c r="B17">
        <f>COUNTIFS(Roadmap!$B$5:$B$101,A17,Roadmap!$E$5:$E$101,"Hecho")</f>
        <v/>
      </c>
      <c r="C17">
        <f>COUNTIFS(Roadmap!$B$5:$B$101,A17)-B17</f>
        <v/>
      </c>
    </row>
    <row r="18">
      <c r="A18" t="inlineStr">
        <is>
          <t>Reportes</t>
        </is>
      </c>
      <c r="B18">
        <f>COUNTIFS(Roadmap!$B$5:$B$101,A18,Roadmap!$E$5:$E$101,"Hecho")</f>
        <v/>
      </c>
      <c r="C18">
        <f>COUNTIFS(Roadmap!$B$5:$B$101,A18)-B18</f>
        <v/>
      </c>
    </row>
    <row r="19">
      <c r="A19" t="inlineStr">
        <is>
          <t>Presupuestos</t>
        </is>
      </c>
      <c r="B19">
        <f>COUNTIFS(Roadmap!$B$5:$B$101,A19,Roadmap!$E$5:$E$101,"Hecho")</f>
        <v/>
      </c>
      <c r="C19">
        <f>COUNTIFS(Roadmap!$B$5:$B$101,A19)-B19</f>
        <v/>
      </c>
    </row>
    <row r="20">
      <c r="A20" t="inlineStr">
        <is>
          <t>Proveedores / Pedidos</t>
        </is>
      </c>
      <c r="B20">
        <f>COUNTIFS(Roadmap!$B$5:$B$101,A20,Roadmap!$E$5:$E$101,"Hecho")</f>
        <v/>
      </c>
      <c r="C20">
        <f>COUNTIFS(Roadmap!$B$5:$B$101,A20)-B20</f>
        <v/>
      </c>
    </row>
    <row r="21">
      <c r="A21" t="inlineStr">
        <is>
          <t>Configuración / Equipo</t>
        </is>
      </c>
      <c r="B21">
        <f>COUNTIFS(Roadmap!$B$5:$B$101,A21,Roadmap!$E$5:$E$101,"Hecho")</f>
        <v/>
      </c>
      <c r="C21">
        <f>COUNTIFS(Roadmap!$B$5:$B$101,A21)-B21</f>
        <v/>
      </c>
    </row>
    <row r="22">
      <c r="A22" t="inlineStr">
        <is>
          <t>UX / Diseño</t>
        </is>
      </c>
      <c r="B22">
        <f>COUNTIFS(Roadmap!$B$5:$B$101,A22,Roadmap!$E$5:$E$101,"Hecho")</f>
        <v/>
      </c>
      <c r="C22">
        <f>COUNTIFS(Roadmap!$B$5:$B$101,A22)-B22</f>
        <v/>
      </c>
    </row>
    <row r="23">
      <c r="A23" t="inlineStr">
        <is>
          <t>Negocio SaaS</t>
        </is>
      </c>
      <c r="B23">
        <f>COUNTIFS(Roadmap!$B$5:$B$101,A23,Roadmap!$E$5:$E$101,"Hecho")</f>
        <v/>
      </c>
      <c r="C23">
        <f>COUNTIFS(Roadmap!$B$5:$B$101,A23)-B23</f>
        <v/>
      </c>
    </row>
    <row r="24">
      <c r="A24" t="inlineStr">
        <is>
          <t>Lanzamiento (bloqueante)</t>
        </is>
      </c>
      <c r="B24">
        <f>COUNTIFS(Roadmap!$B$5:$B$101,A24,Roadmap!$E$5:$E$101,"Hecho")</f>
        <v/>
      </c>
      <c r="C24">
        <f>COUNTIFS(Roadmap!$B$5:$B$101,A24)-B24</f>
        <v/>
      </c>
    </row>
    <row r="25">
      <c r="A25" t="inlineStr">
        <is>
          <t>Calidad / Seguridad</t>
        </is>
      </c>
      <c r="B25">
        <f>COUNTIFS(Roadmap!$B$5:$B$101,A25,Roadmap!$E$5:$E$101,"Hecho")</f>
        <v/>
      </c>
      <c r="C25">
        <f>COUNTIFS(Roadmap!$B$5:$B$101,A25)-B25</f>
        <v/>
      </c>
    </row>
    <row r="26">
      <c r="A26" t="inlineStr">
        <is>
          <t>Legal / Fiscal</t>
        </is>
      </c>
      <c r="B26">
        <f>COUNTIFS(Roadmap!$B$5:$B$101,A26,Roadmap!$E$5:$E$101,"Hecho")</f>
        <v/>
      </c>
      <c r="C26">
        <f>COUNTIFS(Roadmap!$B$5:$B$101,A26)-B26</f>
        <v/>
      </c>
    </row>
    <row r="27">
      <c r="A27" t="inlineStr">
        <is>
          <t>Infra / Escalado</t>
        </is>
      </c>
      <c r="B27">
        <f>COUNTIFS(Roadmap!$B$5:$B$101,A27,Roadmap!$E$5:$E$101,"Hecho")</f>
        <v/>
      </c>
      <c r="C27">
        <f>COUNTIFS(Roadmap!$B$5:$B$101,A27)-B27</f>
        <v/>
      </c>
    </row>
    <row r="28">
      <c r="A28" t="inlineStr">
        <is>
          <t>Backlog / Ideas</t>
        </is>
      </c>
      <c r="B28">
        <f>COUNTIFS(Roadmap!$B$5:$B$101,A28,Roadmap!$E$5:$E$101,"Hecho")</f>
        <v/>
      </c>
      <c r="C28">
        <f>COUNTIFS(Roadmap!$B$5:$B$101,A28)-B28</f>
        <v/>
      </c>
    </row>
    <row r="29">
      <c r="A29" t="inlineStr">
        <is>
          <t>Versiones / Verticales</t>
        </is>
      </c>
      <c r="B29">
        <f>COUNTIFS(Roadmap!$B$5:$B$101,A29,Roadmap!$E$5:$E$101,"Hecho")</f>
        <v/>
      </c>
      <c r="C29">
        <f>COUNTIFS(Roadmap!$B$5:$B$101,A29)-B29</f>
        <v/>
      </c>
    </row>
    <row r="30">
      <c r="A30" t="inlineStr">
        <is>
          <t>Roadmap v2</t>
        </is>
      </c>
      <c r="B30">
        <f>COUNTIFS(Roadmap!$B$5:$B$101,A30,Roadmap!$E$5:$E$101,"Hecho")</f>
        <v/>
      </c>
      <c r="C30">
        <f>COUNTIFS(Roadmap!$B$5:$B$101,A30)-B30</f>
        <v/>
      </c>
    </row>
    <row r="31">
      <c r="A31" t="inlineStr">
        <is>
          <t>Marketing / Conversión</t>
        </is>
      </c>
      <c r="B31">
        <f>COUNTIFS(Roadmap!$B$5:$B$101,A31,Roadmap!$E$5:$E$101,"Hecho")</f>
        <v/>
      </c>
      <c r="C31">
        <f>COUNTIFS(Roadmap!$B$5:$B$101,A31)-B31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2026-06-22T15:29:01Z</dcterms:created>
  <dcterms:modified xmlns:dcterms="http://purl.org/dc/terms/" xmlns:xsi="http://www.w3.org/2001/XMLSchema-instance" xsi:type="dcterms:W3CDTF">2026-06-22T15:29:01Z</dcterms:modified>
</cp:coreProperties>
</file>