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2026-06-20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2026-06-20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2026-06-20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2026-06-20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2026-06-20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2026-06-20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2026-06-20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2026-06-20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2026-06-20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2026-06-20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2026-06-20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2026-06-20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2026-06-20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2026-06-20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2026-06-20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2026-06-20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2026-06-20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2026-06-20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2026-06-20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2026-06-20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2026-06-20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2026-06-20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2026-06-20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2026-06-20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2026-06-20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2026-06-20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2026-06-20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2026-06-20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2026-06-20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2026-06-20</t>
        </is>
      </c>
    </row>
    <row r="34">
      <c r="A34" s="4" t="n">
        <v>30</v>
      </c>
      <c r="B34" s="5" t="inlineStr">
        <is>
          <t>Cuenta Corriente</t>
        </is>
      </c>
      <c r="C34" s="6" t="inlineStr">
        <is>
          <t>Movimientos + registrar pago + saldo en tiempo real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registrarPago atómico FOR UPDATE</t>
        </is>
      </c>
      <c r="G34" s="5" t="inlineStr">
        <is>
          <t>2026-06-20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Reversión de movimientos (transacción atómica)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motivo obligatorio</t>
        </is>
      </c>
      <c r="G35" s="5" t="inlineStr">
        <is>
          <t>2026-06-20</t>
        </is>
      </c>
    </row>
    <row r="36">
      <c r="A36" s="4" t="n">
        <v>32</v>
      </c>
      <c r="B36" s="5" t="inlineStr">
        <is>
          <t>Reportes</t>
        </is>
      </c>
      <c r="C36" s="6" t="inlineStr">
        <is>
          <t>KPIs por período + ranking top productos + métodos de pago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ventana de tiempo unificada</t>
        </is>
      </c>
      <c r="G36" s="5" t="inlineStr">
        <is>
          <t>2026-06-20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Exportar a CSV</t>
        </is>
      </c>
      <c r="D37" s="4" t="inlineStr">
        <is>
          <t>—</t>
        </is>
      </c>
      <c r="E37" s="7" t="inlineStr">
        <is>
          <t>Hecho</t>
        </is>
      </c>
      <c r="F37" s="6" t="inlineStr"/>
      <c r="G37" s="5" t="inlineStr">
        <is>
          <t>2026-06-20</t>
        </is>
      </c>
    </row>
    <row r="38">
      <c r="A38" s="4" t="n">
        <v>34</v>
      </c>
      <c r="B38" s="5" t="inlineStr">
        <is>
          <t>Presupuestos</t>
        </is>
      </c>
      <c r="C38" s="6" t="inlineStr">
        <is>
          <t>CRUD + PDF + estados + numeración atómica</t>
        </is>
      </c>
      <c r="D38" s="4" t="inlineStr">
        <is>
          <t>—</t>
        </is>
      </c>
      <c r="E38" s="7" t="inlineStr">
        <is>
          <t>Hecho</t>
        </is>
      </c>
      <c r="F38" s="6" t="inlineStr">
        <is>
          <t>db.transaction</t>
        </is>
      </c>
      <c r="G38" s="5" t="inlineStr">
        <is>
          <t>2026-06-20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Plantillas de servicios (guardar/listar/usar)</t>
        </is>
      </c>
      <c r="D39" s="4" t="inlineStr">
        <is>
          <t>—</t>
        </is>
      </c>
      <c r="E39" s="7" t="inlineStr">
        <is>
          <t>Hecho</t>
        </is>
      </c>
      <c r="F39" s="6" t="inlineStr"/>
      <c r="G39" s="5" t="inlineStr">
        <is>
          <t>2026-06-20</t>
        </is>
      </c>
    </row>
    <row r="40">
      <c r="A40" s="4" t="n">
        <v>36</v>
      </c>
      <c r="B40" s="5" t="inlineStr">
        <is>
          <t>Proveedores / Pedidos</t>
        </is>
      </c>
      <c r="C40" s="6" t="inlineStr">
        <is>
          <t>CRUD proveedores (markup, selector de país)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2026-06-20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Pedidos a proveedor (WhatsApp + recepción con ajuste de stock)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2026-06-20</t>
        </is>
      </c>
    </row>
    <row r="42">
      <c r="A42" s="4" t="n">
        <v>38</v>
      </c>
      <c r="B42" s="5" t="inlineStr">
        <is>
          <t>Configuración / Equipo</t>
        </is>
      </c>
      <c r="C42" s="6" t="inlineStr">
        <is>
          <t>Datos fiscales + canales + conectar/desconectar Mercado Pago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2026-06-20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Equipo: invitar por email, editar rol, eliminar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2026-06-20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Control de acceso por rol (requireAdmin, route group)</t>
        </is>
      </c>
      <c r="D44" s="4" t="inlineStr">
        <is>
          <t>—</t>
        </is>
      </c>
      <c r="E44" s="7" t="inlineStr">
        <is>
          <t>Hecho</t>
        </is>
      </c>
      <c r="F44" s="6" t="inlineStr">
        <is>
          <t>empleado solo POS+Historial+Productos</t>
        </is>
      </c>
      <c r="G44" s="5" t="inlineStr">
        <is>
          <t>2026-06-20</t>
        </is>
      </c>
    </row>
    <row r="45">
      <c r="A45" s="4" t="n">
        <v>41</v>
      </c>
      <c r="B45" s="5" t="inlineStr">
        <is>
          <t>UX / Diseño</t>
        </is>
      </c>
      <c r="C45" s="6" t="inlineStr">
        <is>
          <t>Design System Brasas v2 (paleta cálida + grain + gradientes)</t>
        </is>
      </c>
      <c r="D45" s="4" t="inlineStr">
        <is>
          <t>—</t>
        </is>
      </c>
      <c r="E45" s="7" t="inlineStr">
        <is>
          <t>Hecho</t>
        </is>
      </c>
      <c r="F45" s="6" t="inlineStr"/>
      <c r="G45" s="5" t="inlineStr">
        <is>
          <t>2026-06-20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Sidebar + mobile bottom nav con FAB Vender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2026-06-20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Skeleton loaders (7 rutas)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2026-06-20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Command palette ⌘K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2026-06-20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Dark / light toggle</t>
        </is>
      </c>
      <c r="D49" s="4" t="inlineStr">
        <is>
          <t>Baja</t>
        </is>
      </c>
      <c r="E49" s="7" t="inlineStr">
        <is>
          <t>Pendiente</t>
        </is>
      </c>
      <c r="F49" s="6" t="inlineStr"/>
      <c r="G49" s="5" t="inlineStr">
        <is>
          <t>2026-06-20</t>
        </is>
      </c>
    </row>
    <row r="50">
      <c r="A50" s="4" t="n">
        <v>46</v>
      </c>
      <c r="B50" s="5" t="inlineStr">
        <is>
          <t>Negocio SaaS</t>
        </is>
      </c>
      <c r="C50" s="6" t="inlineStr">
        <is>
          <t>4 planes + Mercado Pago preapproval + webhook activación/suspensión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src/lib/planes.ts</t>
        </is>
      </c>
      <c r="G50" s="5" t="inlineStr">
        <is>
          <t>2026-06-20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Cobro por transferencia (panel admin + aviso cliente + comprobante por email)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Activación manual 1-click; /admin/suscripciones; emails salen al cargar RESEND_API_KEY</t>
        </is>
      </c>
      <c r="G51" s="5" t="inlineStr">
        <is>
          <t>2026-06-20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automático MP/Mobbex (CUIT Monotributo + cuenta)</t>
        </is>
      </c>
      <c r="D52" s="4" t="inlineStr">
        <is>
          <t>Alta</t>
        </is>
      </c>
      <c r="E52" s="7" t="inlineStr">
        <is>
          <t>En progreso</t>
        </is>
      </c>
      <c r="F52" s="6" t="inlineStr">
        <is>
          <t>Bloqueado: falta CUIT + cuenta. Mientras tanto se cobra por transferencia</t>
        </is>
      </c>
      <c r="G52" s="5" t="inlineStr">
        <is>
          <t>2026-06-20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Panel super-admin (gestionar tenants, métricas cross-tenant)</t>
        </is>
      </c>
      <c r="D53" s="4" t="inlineStr">
        <is>
          <t>Media</t>
        </is>
      </c>
      <c r="E53" s="7" t="inlineStr">
        <is>
          <t>En progreso</t>
        </is>
      </c>
      <c r="F53" s="6" t="inlineStr">
        <is>
          <t>Panel /admin/suscripciones operativo; faltan métricas cross-tenant</t>
        </is>
      </c>
      <c r="G53" s="5" t="inlineStr">
        <is>
          <t>2026-06-20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Catálogo global cross-tenant</t>
        </is>
      </c>
      <c r="D54" s="4" t="inlineStr">
        <is>
          <t>Baja</t>
        </is>
      </c>
      <c r="E54" s="7" t="inlineStr">
        <is>
          <t>Pendiente</t>
        </is>
      </c>
      <c r="F54" s="6" t="inlineStr">
        <is>
          <t>Necesita OK explícito antes de implementar</t>
        </is>
      </c>
      <c r="G54" s="5" t="inlineStr">
        <is>
          <t>2026-06-20</t>
        </is>
      </c>
    </row>
    <row r="55">
      <c r="A55" s="4" t="n">
        <v>51</v>
      </c>
      <c r="B55" s="5" t="inlineStr">
        <is>
          <t>Lanzamiento (bloqueante)</t>
        </is>
      </c>
      <c r="C55" s="6" t="inlineStr">
        <is>
          <t>Dominio propio (ej: usegesto.app)</t>
        </is>
      </c>
      <c r="D55" s="4" t="inlineStr">
        <is>
          <t>Alta</t>
        </is>
      </c>
      <c r="E55" s="7" t="inlineStr">
        <is>
          <t>Pendiente</t>
        </is>
      </c>
      <c r="F55" s="6" t="inlineStr">
        <is>
          <t>URL actual no es presentable</t>
        </is>
      </c>
      <c r="G55" s="5" t="inlineStr">
        <is>
          <t>2026-06-20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SMTP con Resend (invitación, bienvenida, reset con branding)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Cron listo; falta RESEND_API_KEY en Vercel (rotar la vieja)</t>
        </is>
      </c>
      <c r="G56" s="5" t="inlineStr">
        <is>
          <t>2026-06-20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Landing page pública (rubro-adaptativa + demo en vivo)</t>
        </is>
      </c>
      <c r="D57" s="4" t="inlineStr">
        <is>
          <t>—</t>
        </is>
      </c>
      <c r="E57" s="7" t="inlineStr">
        <is>
          <t>Hecho</t>
        </is>
      </c>
      <c r="F57" s="6" t="inlineStr">
        <is>
          <t>/ pública (redirige a dashboard si hay sesión); demo POS interactivo por rubro + antes/después + pricing al MEP</t>
        </is>
      </c>
      <c r="G57" s="5" t="inlineStr">
        <is>
          <t>2026-06-20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PWA manifest + iconos (192/512, apple-touch-icon)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POS se usa en tablet/celular</t>
        </is>
      </c>
      <c r="G58" s="5" t="inlineStr">
        <is>
          <t>2026-06-20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Términos de servicio + Política de privacidad</t>
        </is>
      </c>
      <c r="D59" s="4" t="inlineStr">
        <is>
          <t>Alta</t>
        </is>
      </c>
      <c r="E59" s="7" t="inlineStr">
        <is>
          <t>Pendiente</t>
        </is>
      </c>
      <c r="F59" s="6" t="inlineStr">
        <is>
          <t>Requerido para cobrar con MP / Ley 25.326</t>
        </is>
      </c>
      <c r="G59" s="5" t="inlineStr">
        <is>
          <t>2026-06-20</t>
        </is>
      </c>
    </row>
    <row r="60">
      <c r="A60" s="4" t="n">
        <v>56</v>
      </c>
      <c r="B60" s="5" t="inlineStr">
        <is>
          <t>Calidad / Seguridad</t>
        </is>
      </c>
      <c r="C60" s="6" t="inlineStr">
        <is>
          <t>Bugs críticos corregidos (stock al vender, numeración, loop /planes)</t>
        </is>
      </c>
      <c r="D60" s="4" t="inlineStr">
        <is>
          <t>—</t>
        </is>
      </c>
      <c r="E60" s="7" t="inlineStr">
        <is>
          <t>Hecho</t>
        </is>
      </c>
      <c r="F60" s="6" t="inlineStr"/>
      <c r="G60" s="5" t="inlineStr">
        <is>
          <t>2026-06-20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ConfirmDialog reutilizable (reemplaza window.confirm en 9 comp.)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2026-06-20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Verificar firma de webhook MP</t>
        </is>
      </c>
      <c r="D62" s="4" t="inlineStr">
        <is>
          <t>—</t>
        </is>
      </c>
      <c r="E62" s="7" t="inlineStr">
        <is>
          <t>Hecho</t>
        </is>
      </c>
      <c r="F62" s="6" t="inlineStr">
        <is>
          <t>Firma HMAC timing-safe + fail-closed en prod; cargar MP_WEBHOOK_SECRET en Vercel</t>
        </is>
      </c>
      <c r="G62" s="5" t="inlineStr">
        <is>
          <t>2026-06-20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Auditoría de seguridad E2E + fixes (IDOR token MP, recibirPedido, escalación de rol, OAuth state, crons fail-closed, escape de emails)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Guard test anti-omisión de byTenant; ver project_gesto_seguridad. RLS no protege capa app (byTenant única defensa)</t>
        </is>
      </c>
      <c r="G63" s="5" t="inlineStr">
        <is>
          <t>2026-06-20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Rate limiting en auth (login/signup)</t>
        </is>
      </c>
      <c r="D64" s="4" t="inlineStr">
        <is>
          <t>Media</t>
        </is>
      </c>
      <c r="E64" s="7" t="inlineStr">
        <is>
          <t>Pendiente</t>
        </is>
      </c>
      <c r="F64" s="6" t="inlineStr">
        <is>
          <t>ej: @upstash/ratelimit</t>
        </is>
      </c>
      <c r="G64" s="5" t="inlineStr">
        <is>
          <t>2026-06-20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Tests de integración (flows de venta y producto)</t>
        </is>
      </c>
      <c r="D65" s="4" t="inlineStr">
        <is>
          <t>Media</t>
        </is>
      </c>
      <c r="E65" s="7" t="inlineStr">
        <is>
          <t>Pendiente</t>
        </is>
      </c>
      <c r="F65" s="6" t="inlineStr"/>
      <c r="G65" s="5" t="inlineStr">
        <is>
          <t>2026-06-20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Export de datos (CSV ventas / inventario)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Que el cliente no sienta lock-in</t>
        </is>
      </c>
      <c r="G66" s="5" t="inlineStr">
        <is>
          <t>2026-06-20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Facturación AFIP (Tusfacturas.app, A/B)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Bloqueante segmento servicios/mayorista</t>
        </is>
      </c>
      <c r="G67" s="5" t="inlineStr">
        <is>
          <t>2026-06-20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Historial de auditoría básico (quién creó/modificó)</t>
        </is>
      </c>
      <c r="D68" s="4" t="inlineStr">
        <is>
          <t>Baja</t>
        </is>
      </c>
      <c r="E68" s="7" t="inlineStr">
        <is>
          <t>Pendiente</t>
        </is>
      </c>
      <c r="F68" s="6" t="inlineStr">
        <is>
          <t>Mínimo en productos y ventas</t>
        </is>
      </c>
      <c r="G68" s="5" t="inlineStr">
        <is>
          <t>2026-06-20</t>
        </is>
      </c>
    </row>
    <row r="69">
      <c r="A69" s="4" t="n">
        <v>65</v>
      </c>
      <c r="B69" s="5" t="inlineStr">
        <is>
          <t>Legal / Fiscal</t>
        </is>
      </c>
      <c r="C69" s="6" t="inlineStr">
        <is>
          <t>CUIT + Monotributo (o Responsable Inscripto)</t>
        </is>
      </c>
      <c r="D69" s="4" t="inlineStr">
        <is>
          <t>Alta</t>
        </is>
      </c>
      <c r="E69" s="7" t="inlineStr">
        <is>
          <t>Pendiente</t>
        </is>
      </c>
      <c r="F69" s="6" t="inlineStr">
        <is>
          <t>Bloquea cobrar en regla; ojo el tope anual de Monotributo con ingresos SaaS recurrentes</t>
        </is>
      </c>
      <c r="G69" s="5" t="inlineStr">
        <is>
          <t>2026-06-20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Registro de bases de datos ante la AAIP (Ley 25.326)</t>
        </is>
      </c>
      <c r="D70" s="4" t="inlineStr">
        <is>
          <t>Media</t>
        </is>
      </c>
      <c r="E70" s="7" t="inlineStr">
        <is>
          <t>Pendiente</t>
        </is>
      </c>
      <c r="F70" s="6" t="inlineStr">
        <is>
          <t>Sos responsable de la PII de los clientes y de SUS clientes</t>
        </is>
      </c>
      <c r="G70" s="5" t="inlineStr">
        <is>
          <t>2026-06-20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Botón de baja + arrepentimiento de suscripción (Res. 424/2020)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Cancelación online fácil y visible; ya existe cancelarSuscripcion</t>
        </is>
      </c>
      <c r="G71" s="5" t="inlineStr">
        <is>
          <t>2026-06-20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Cláusulas de transferencia internacional de datos</t>
        </is>
      </c>
      <c r="D72" s="4" t="inlineStr">
        <is>
          <t>Baja</t>
        </is>
      </c>
      <c r="E72" s="7" t="inlineStr">
        <is>
          <t>Pendiente</t>
        </is>
      </c>
      <c r="F72" s="6" t="inlineStr">
        <is>
          <t>Datos en AWS us-east-1; Ley 25.326 exige resguardos (EE.UU. no es país adecuado por defecto)</t>
        </is>
      </c>
      <c r="G72" s="5" t="inlineStr">
        <is>
          <t>2026-06-20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Estructura societaria (SAS) + acuerdo escrito con socio</t>
        </is>
      </c>
      <c r="D73" s="4" t="inlineStr">
        <is>
          <t>Media</t>
        </is>
      </c>
      <c r="E73" s="7" t="inlineStr">
        <is>
          <t>Pendiente</t>
        </is>
      </c>
      <c r="F73" s="6" t="inlineStr">
        <is>
          <t>Separa patrimonio del riesgo; formaliza la participación de Facu</t>
        </is>
      </c>
      <c r="G73" s="5" t="inlineStr">
        <is>
          <t>2026-06-20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Contrato de servicio / SLA con clientes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Dueño de los datos (el cliente), uptime, soporte, límite de responsabilidad</t>
        </is>
      </c>
      <c r="G74" s="5" t="inlineStr">
        <is>
          <t>2026-06-20</t>
        </is>
      </c>
    </row>
    <row r="75">
      <c r="A75" s="4" t="n">
        <v>71</v>
      </c>
      <c r="B75" s="5" t="inlineStr">
        <is>
          <t>Infra / Escalado</t>
        </is>
      </c>
      <c r="C75" s="6" t="inlineStr">
        <is>
          <t>Vercel Pro + Supabase Pro</t>
        </is>
      </c>
      <c r="D75" s="4" t="inlineStr">
        <is>
          <t>Alta</t>
        </is>
      </c>
      <c r="E75" s="7" t="inlineStr">
        <is>
          <t>Pendiente</t>
        </is>
      </c>
      <c r="F75" s="6" t="inlineStr">
        <is>
          <t>Vercel Hobby es no comercial; Supabase Free se pausa a los 7 días. Bloquea producción real</t>
        </is>
      </c>
      <c r="G75" s="5" t="inlineStr">
        <is>
          <t>2026-06-20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Backups diarios + PITR + probar un restore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Un backup sin restore probado no es un backup</t>
        </is>
      </c>
      <c r="G76" s="5" t="inlineStr">
        <is>
          <t>2026-06-20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Monitoreo: activar Sentry + uptime check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SENTRY_DSN ya está en el build, falta activarlo + un cron canario</t>
        </is>
      </c>
      <c r="G77" s="5" t="inlineStr">
        <is>
          <t>2026-06-20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Email deliverability: dominio + SPF/DKIM/DMARC (Resend)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Si no, comprobantes y facturas caen en spam</t>
        </is>
      </c>
      <c r="G78" s="5" t="inlineStr">
        <is>
          <t>2026-06-20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Encriptar tokens MP del negocio at-rest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Hoy en texto plano en tenants (hallazgo de seguridad #9)</t>
        </is>
      </c>
      <c r="G79" s="5" t="inlineStr">
        <is>
          <t>2026-06-20</t>
        </is>
      </c>
    </row>
    <row r="80">
      <c r="A80" s="4" t="n">
        <v>76</v>
      </c>
      <c r="B80" s="5" t="inlineStr">
        <is>
          <t>Backlog / Ideas</t>
        </is>
      </c>
      <c r="C80" s="6" t="inlineStr">
        <is>
          <t>Consultor de precios para cliente final (pantalla pública con QR)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Diferenciador único; ruta /p/[tenantSlug]</t>
        </is>
      </c>
      <c r="G80" s="5" t="inlineStr">
        <is>
          <t>2026-06-20</t>
        </is>
      </c>
    </row>
    <row r="81">
      <c r="A81" s="4" t="n">
        <v>77</v>
      </c>
      <c r="B81" s="5" t="inlineStr">
        <is>
          <t>Roadmap v2</t>
        </is>
      </c>
      <c r="C81" s="6" t="inlineStr">
        <is>
          <t>Gestión de mesas (Gesto Food)</t>
        </is>
      </c>
      <c r="D81" s="4" t="inlineStr">
        <is>
          <t>Baja</t>
        </is>
      </c>
      <c r="E81" s="7" t="inlineStr">
        <is>
          <t>Pendiente</t>
        </is>
      </c>
      <c r="F81" s="6" t="inlineStr"/>
      <c r="G81" s="5" t="inlineStr">
        <is>
          <t>2026-06-20</t>
        </is>
      </c>
    </row>
    <row r="82">
      <c r="A82" s="4" t="n">
        <v>78</v>
      </c>
      <c r="B82" s="5" t="inlineStr">
        <is>
          <t>Roadmap v2</t>
        </is>
      </c>
      <c r="C82" s="6" t="inlineStr">
        <is>
          <t>Integración balanza digital (Gesto Balanza)</t>
        </is>
      </c>
      <c r="D82" s="4" t="inlineStr">
        <is>
          <t>Baja</t>
        </is>
      </c>
      <c r="E82" s="7" t="inlineStr">
        <is>
          <t>Pendiente</t>
        </is>
      </c>
      <c r="F82" s="6" t="inlineStr"/>
      <c r="G82" s="5" t="inlineStr">
        <is>
          <t>2026-06-20</t>
        </is>
      </c>
    </row>
    <row r="83">
      <c r="A83" s="4" t="n">
        <v>79</v>
      </c>
      <c r="B83" s="5" t="inlineStr">
        <is>
          <t>Roadmap v2</t>
        </is>
      </c>
      <c r="C83" s="6" t="inlineStr">
        <is>
          <t>Modificadores por ítem en POS (extras, variantes)</t>
        </is>
      </c>
      <c r="D83" s="4" t="inlineStr">
        <is>
          <t>Baja</t>
        </is>
      </c>
      <c r="E83" s="7" t="inlineStr">
        <is>
          <t>Pendiente</t>
        </is>
      </c>
      <c r="F83" s="6" t="inlineStr"/>
      <c r="G83" s="5" t="inlineStr">
        <is>
          <t>2026-06-20</t>
        </is>
      </c>
    </row>
    <row r="84">
      <c r="A84" s="4" t="n">
        <v>80</v>
      </c>
      <c r="B84" s="5" t="inlineStr">
        <is>
          <t>Roadmap v2</t>
        </is>
      </c>
      <c r="C84" s="6" t="inlineStr">
        <is>
          <t>App mobile nativa con Capacitor (offline first)</t>
        </is>
      </c>
      <c r="D84" s="4" t="inlineStr">
        <is>
          <t>Baja</t>
        </is>
      </c>
      <c r="E84" s="7" t="inlineStr">
        <is>
          <t>Pendiente</t>
        </is>
      </c>
      <c r="F84" s="6" t="inlineStr"/>
      <c r="G84" s="5" t="inlineStr">
        <is>
          <t>2026-06-20</t>
        </is>
      </c>
    </row>
    <row r="85">
      <c r="A85" s="4" t="n">
        <v>81</v>
      </c>
      <c r="B85" s="5" t="inlineStr">
        <is>
          <t>Roadmap v2</t>
        </is>
      </c>
      <c r="C85" s="6" t="inlineStr">
        <is>
          <t>Notificaciones push (stock, pedidos)</t>
        </is>
      </c>
      <c r="D85" s="4" t="inlineStr">
        <is>
          <t>Baja</t>
        </is>
      </c>
      <c r="E85" s="7" t="inlineStr">
        <is>
          <t>Pendiente</t>
        </is>
      </c>
      <c r="F85" s="6" t="inlineStr"/>
      <c r="G85" s="5" t="inlineStr">
        <is>
          <t>2026-06-20</t>
        </is>
      </c>
    </row>
    <row r="86">
      <c r="A86" s="4" t="n">
        <v>82</v>
      </c>
      <c r="B86" s="5" t="inlineStr">
        <is>
          <t>Roadmap v2</t>
        </is>
      </c>
      <c r="C86" s="6" t="inlineStr">
        <is>
          <t>Dashboard financiero avanzado (márgenes, rentabilidad)</t>
        </is>
      </c>
      <c r="D86" s="4" t="inlineStr">
        <is>
          <t>Baja</t>
        </is>
      </c>
      <c r="E86" s="7" t="inlineStr">
        <is>
          <t>Pendiente</t>
        </is>
      </c>
      <c r="F86" s="6" t="inlineStr"/>
      <c r="G86" s="5" t="inlineStr">
        <is>
          <t>2026-06-20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Multi-sucursal (varios locales bajo una cuenta madre)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2026-06-20</t>
        </is>
      </c>
    </row>
  </sheetData>
  <autoFilter ref="A4:G87"/>
  <mergeCells count="2">
    <mergeCell ref="A2:G2"/>
    <mergeCell ref="A1:G1"/>
  </mergeCells>
  <conditionalFormatting sqref="A5:G87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87" showDropDown="0" showInputMessage="0" showErrorMessage="0" allowBlank="0" type="list">
      <formula1>"Hecho,En progreso,Pendiente"</formula1>
    </dataValidation>
    <dataValidation sqref="D5:D87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COUNTIF(Roadmap!$E$5:$E$87,A4)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COUNTIF(Roadmap!$E$5:$E$87,A5)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COUNTIF(Roadmap!$E$5:$E$87,A6)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COUNTA(Roadmap!$E$5:$E$87)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COUNTIFS(Roadmap!$B$5:$B$87,A11,Roadmap!$E$5:$E$87,"Hecho")</f>
        <v/>
      </c>
      <c r="C11">
        <f>COUNTIFS(Roadmap!$B$5:$B$87,A11)-B11</f>
        <v/>
      </c>
    </row>
    <row r="12">
      <c r="A12" t="inlineStr">
        <is>
          <t>Base de datos</t>
        </is>
      </c>
      <c r="B12">
        <f>COUNTIFS(Roadmap!$B$5:$B$87,A12,Roadmap!$E$5:$E$87,"Hecho")</f>
        <v/>
      </c>
      <c r="C12">
        <f>COUNTIFS(Roadmap!$B$5:$B$87,A12)-B12</f>
        <v/>
      </c>
    </row>
    <row r="13">
      <c r="A13" t="inlineStr">
        <is>
          <t>Auth</t>
        </is>
      </c>
      <c r="B13">
        <f>COUNTIFS(Roadmap!$B$5:$B$87,A13,Roadmap!$E$5:$E$87,"Hecho")</f>
        <v/>
      </c>
      <c r="C13">
        <f>COUNTIFS(Roadmap!$B$5:$B$87,A13)-B13</f>
        <v/>
      </c>
    </row>
    <row r="14">
      <c r="A14" t="inlineStr">
        <is>
          <t>Productos</t>
        </is>
      </c>
      <c r="B14">
        <f>COUNTIFS(Roadmap!$B$5:$B$87,A14,Roadmap!$E$5:$E$87,"Hecho")</f>
        <v/>
      </c>
      <c r="C14">
        <f>COUNTIFS(Roadmap!$B$5:$B$87,A14)-B14</f>
        <v/>
      </c>
    </row>
    <row r="15">
      <c r="A15" t="inlineStr">
        <is>
          <t>Clientes</t>
        </is>
      </c>
      <c r="B15">
        <f>COUNTIFS(Roadmap!$B$5:$B$87,A15,Roadmap!$E$5:$E$87,"Hecho")</f>
        <v/>
      </c>
      <c r="C15">
        <f>COUNTIFS(Roadmap!$B$5:$B$87,A15)-B15</f>
        <v/>
      </c>
    </row>
    <row r="16">
      <c r="A16" t="inlineStr">
        <is>
          <t>Ventas / POS</t>
        </is>
      </c>
      <c r="B16">
        <f>COUNTIFS(Roadmap!$B$5:$B$87,A16,Roadmap!$E$5:$E$87,"Hecho")</f>
        <v/>
      </c>
      <c r="C16">
        <f>COUNTIFS(Roadmap!$B$5:$B$87,A16)-B16</f>
        <v/>
      </c>
    </row>
    <row r="17">
      <c r="A17" t="inlineStr">
        <is>
          <t>Cuenta Corriente</t>
        </is>
      </c>
      <c r="B17">
        <f>COUNTIFS(Roadmap!$B$5:$B$87,A17,Roadmap!$E$5:$E$87,"Hecho")</f>
        <v/>
      </c>
      <c r="C17">
        <f>COUNTIFS(Roadmap!$B$5:$B$87,A17)-B17</f>
        <v/>
      </c>
    </row>
    <row r="18">
      <c r="A18" t="inlineStr">
        <is>
          <t>Reportes</t>
        </is>
      </c>
      <c r="B18">
        <f>COUNTIFS(Roadmap!$B$5:$B$87,A18,Roadmap!$E$5:$E$87,"Hecho")</f>
        <v/>
      </c>
      <c r="C18">
        <f>COUNTIFS(Roadmap!$B$5:$B$87,A18)-B18</f>
        <v/>
      </c>
    </row>
    <row r="19">
      <c r="A19" t="inlineStr">
        <is>
          <t>Presupuestos</t>
        </is>
      </c>
      <c r="B19">
        <f>COUNTIFS(Roadmap!$B$5:$B$87,A19,Roadmap!$E$5:$E$87,"Hecho")</f>
        <v/>
      </c>
      <c r="C19">
        <f>COUNTIFS(Roadmap!$B$5:$B$87,A19)-B19</f>
        <v/>
      </c>
    </row>
    <row r="20">
      <c r="A20" t="inlineStr">
        <is>
          <t>Proveedores / Pedidos</t>
        </is>
      </c>
      <c r="B20">
        <f>COUNTIFS(Roadmap!$B$5:$B$87,A20,Roadmap!$E$5:$E$87,"Hecho")</f>
        <v/>
      </c>
      <c r="C20">
        <f>COUNTIFS(Roadmap!$B$5:$B$87,A20)-B20</f>
        <v/>
      </c>
    </row>
    <row r="21">
      <c r="A21" t="inlineStr">
        <is>
          <t>Configuración / Equipo</t>
        </is>
      </c>
      <c r="B21">
        <f>COUNTIFS(Roadmap!$B$5:$B$87,A21,Roadmap!$E$5:$E$87,"Hecho")</f>
        <v/>
      </c>
      <c r="C21">
        <f>COUNTIFS(Roadmap!$B$5:$B$87,A21)-B21</f>
        <v/>
      </c>
    </row>
    <row r="22">
      <c r="A22" t="inlineStr">
        <is>
          <t>UX / Diseño</t>
        </is>
      </c>
      <c r="B22">
        <f>COUNTIFS(Roadmap!$B$5:$B$87,A22,Roadmap!$E$5:$E$87,"Hecho")</f>
        <v/>
      </c>
      <c r="C22">
        <f>COUNTIFS(Roadmap!$B$5:$B$87,A22)-B22</f>
        <v/>
      </c>
    </row>
    <row r="23">
      <c r="A23" t="inlineStr">
        <is>
          <t>Negocio SaaS</t>
        </is>
      </c>
      <c r="B23">
        <f>COUNTIFS(Roadmap!$B$5:$B$87,A23,Roadmap!$E$5:$E$87,"Hecho")</f>
        <v/>
      </c>
      <c r="C23">
        <f>COUNTIFS(Roadmap!$B$5:$B$87,A23)-B23</f>
        <v/>
      </c>
    </row>
    <row r="24">
      <c r="A24" t="inlineStr">
        <is>
          <t>Lanzamiento (bloqueante)</t>
        </is>
      </c>
      <c r="B24">
        <f>COUNTIFS(Roadmap!$B$5:$B$87,A24,Roadmap!$E$5:$E$87,"Hecho")</f>
        <v/>
      </c>
      <c r="C24">
        <f>COUNTIFS(Roadmap!$B$5:$B$87,A24)-B24</f>
        <v/>
      </c>
    </row>
    <row r="25">
      <c r="A25" t="inlineStr">
        <is>
          <t>Calidad / Seguridad</t>
        </is>
      </c>
      <c r="B25">
        <f>COUNTIFS(Roadmap!$B$5:$B$87,A25,Roadmap!$E$5:$E$87,"Hecho")</f>
        <v/>
      </c>
      <c r="C25">
        <f>COUNTIFS(Roadmap!$B$5:$B$87,A25)-B25</f>
        <v/>
      </c>
    </row>
    <row r="26">
      <c r="A26" t="inlineStr">
        <is>
          <t>Legal / Fiscal</t>
        </is>
      </c>
      <c r="B26">
        <f>COUNTIFS(Roadmap!$B$5:$B$87,A26,Roadmap!$E$5:$E$87,"Hecho")</f>
        <v/>
      </c>
      <c r="C26">
        <f>COUNTIFS(Roadmap!$B$5:$B$87,A26)-B26</f>
        <v/>
      </c>
    </row>
    <row r="27">
      <c r="A27" t="inlineStr">
        <is>
          <t>Infra / Escalado</t>
        </is>
      </c>
      <c r="B27">
        <f>COUNTIFS(Roadmap!$B$5:$B$87,A27,Roadmap!$E$5:$E$87,"Hecho")</f>
        <v/>
      </c>
      <c r="C27">
        <f>COUNTIFS(Roadmap!$B$5:$B$87,A27)-B27</f>
        <v/>
      </c>
    </row>
    <row r="28">
      <c r="A28" t="inlineStr">
        <is>
          <t>Backlog / Ideas</t>
        </is>
      </c>
      <c r="B28">
        <f>COUNTIFS(Roadmap!$B$5:$B$87,A28,Roadmap!$E$5:$E$87,"Hecho")</f>
        <v/>
      </c>
      <c r="C28">
        <f>COUNTIFS(Roadmap!$B$5:$B$87,A28)-B28</f>
        <v/>
      </c>
    </row>
    <row r="29">
      <c r="A29" t="inlineStr">
        <is>
          <t>Roadmap v2</t>
        </is>
      </c>
      <c r="B29">
        <f>COUNTIFS(Roadmap!$B$5:$B$87,A29,Roadmap!$E$5:$E$87,"Hecho")</f>
        <v/>
      </c>
      <c r="C29">
        <f>COUNTIFS(Roadmap!$B$5:$B$87,A29)-B29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2026-06-21T04:16:29Z</dcterms:created>
  <dcterms:modified xmlns:dcterms="http://purl.org/dc/terms/" xmlns:xsi="http://www.w3.org/2001/XMLSchema-instance" xsi:type="dcterms:W3CDTF">2026-06-21T04:16:29Z</dcterms:modified>
</cp:coreProperties>
</file>