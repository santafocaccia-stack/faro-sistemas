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2026-06-21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En progreso</t>
        </is>
      </c>
      <c r="F83" s="6" t="inlineStr">
        <is>
          <t>Split de marca ya hecho; falta valor real que sume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'próximamente'; armarla de verdad para que funcione con balanzas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2026-06-21</t>
        </is>
      </c>
    </row>
  </sheetData>
  <autoFilter ref="A4:G92"/>
  <mergeCells count="2">
    <mergeCell ref="A2:G2"/>
    <mergeCell ref="A1:G1"/>
  </mergeCells>
  <conditionalFormatting sqref="A5:G92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2" showDropDown="0" showInputMessage="0" showErrorMessage="0" allowBlank="0" type="list">
      <formula1>"Hecho,En progreso,Pendiente"</formula1>
    </dataValidation>
    <dataValidation sqref="D5:D92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COUNTIF(Roadmap!$E$5:$E$92,A4)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COUNTIF(Roadmap!$E$5:$E$92,A5)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COUNTIF(Roadmap!$E$5:$E$92,A6)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COUNTA(Roadmap!$E$5:$E$92)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COUNTIFS(Roadmap!$B$5:$B$92,A11,Roadmap!$E$5:$E$92,"Hecho")</f>
        <v/>
      </c>
      <c r="C11">
        <f>COUNTIFS(Roadmap!$B$5:$B$92,A11)-B11</f>
        <v/>
      </c>
    </row>
    <row r="12">
      <c r="A12" t="inlineStr">
        <is>
          <t>Base de datos</t>
        </is>
      </c>
      <c r="B12">
        <f>COUNTIFS(Roadmap!$B$5:$B$92,A12,Roadmap!$E$5:$E$92,"Hecho")</f>
        <v/>
      </c>
      <c r="C12">
        <f>COUNTIFS(Roadmap!$B$5:$B$92,A12)-B12</f>
        <v/>
      </c>
    </row>
    <row r="13">
      <c r="A13" t="inlineStr">
        <is>
          <t>Auth</t>
        </is>
      </c>
      <c r="B13">
        <f>COUNTIFS(Roadmap!$B$5:$B$92,A13,Roadmap!$E$5:$E$92,"Hecho")</f>
        <v/>
      </c>
      <c r="C13">
        <f>COUNTIFS(Roadmap!$B$5:$B$92,A13)-B13</f>
        <v/>
      </c>
    </row>
    <row r="14">
      <c r="A14" t="inlineStr">
        <is>
          <t>Productos</t>
        </is>
      </c>
      <c r="B14">
        <f>COUNTIFS(Roadmap!$B$5:$B$92,A14,Roadmap!$E$5:$E$92,"Hecho")</f>
        <v/>
      </c>
      <c r="C14">
        <f>COUNTIFS(Roadmap!$B$5:$B$92,A14)-B14</f>
        <v/>
      </c>
    </row>
    <row r="15">
      <c r="A15" t="inlineStr">
        <is>
          <t>Clientes</t>
        </is>
      </c>
      <c r="B15">
        <f>COUNTIFS(Roadmap!$B$5:$B$92,A15,Roadmap!$E$5:$E$92,"Hecho")</f>
        <v/>
      </c>
      <c r="C15">
        <f>COUNTIFS(Roadmap!$B$5:$B$92,A15)-B15</f>
        <v/>
      </c>
    </row>
    <row r="16">
      <c r="A16" t="inlineStr">
        <is>
          <t>Ventas / POS</t>
        </is>
      </c>
      <c r="B16">
        <f>COUNTIFS(Roadmap!$B$5:$B$92,A16,Roadmap!$E$5:$E$92,"Hecho")</f>
        <v/>
      </c>
      <c r="C16">
        <f>COUNTIFS(Roadmap!$B$5:$B$92,A16)-B16</f>
        <v/>
      </c>
    </row>
    <row r="17">
      <c r="A17" t="inlineStr">
        <is>
          <t>Cuenta Corriente</t>
        </is>
      </c>
      <c r="B17">
        <f>COUNTIFS(Roadmap!$B$5:$B$92,A17,Roadmap!$E$5:$E$92,"Hecho")</f>
        <v/>
      </c>
      <c r="C17">
        <f>COUNTIFS(Roadmap!$B$5:$B$92,A17)-B17</f>
        <v/>
      </c>
    </row>
    <row r="18">
      <c r="A18" t="inlineStr">
        <is>
          <t>Reportes</t>
        </is>
      </c>
      <c r="B18">
        <f>COUNTIFS(Roadmap!$B$5:$B$92,A18,Roadmap!$E$5:$E$92,"Hecho")</f>
        <v/>
      </c>
      <c r="C18">
        <f>COUNTIFS(Roadmap!$B$5:$B$92,A18)-B18</f>
        <v/>
      </c>
    </row>
    <row r="19">
      <c r="A19" t="inlineStr">
        <is>
          <t>Presupuestos</t>
        </is>
      </c>
      <c r="B19">
        <f>COUNTIFS(Roadmap!$B$5:$B$92,A19,Roadmap!$E$5:$E$92,"Hecho")</f>
        <v/>
      </c>
      <c r="C19">
        <f>COUNTIFS(Roadmap!$B$5:$B$92,A19)-B19</f>
        <v/>
      </c>
    </row>
    <row r="20">
      <c r="A20" t="inlineStr">
        <is>
          <t>Proveedores / Pedidos</t>
        </is>
      </c>
      <c r="B20">
        <f>COUNTIFS(Roadmap!$B$5:$B$92,A20,Roadmap!$E$5:$E$92,"Hecho")</f>
        <v/>
      </c>
      <c r="C20">
        <f>COUNTIFS(Roadmap!$B$5:$B$92,A20)-B20</f>
        <v/>
      </c>
    </row>
    <row r="21">
      <c r="A21" t="inlineStr">
        <is>
          <t>Configuración / Equipo</t>
        </is>
      </c>
      <c r="B21">
        <f>COUNTIFS(Roadmap!$B$5:$B$92,A21,Roadmap!$E$5:$E$92,"Hecho")</f>
        <v/>
      </c>
      <c r="C21">
        <f>COUNTIFS(Roadmap!$B$5:$B$92,A21)-B21</f>
        <v/>
      </c>
    </row>
    <row r="22">
      <c r="A22" t="inlineStr">
        <is>
          <t>UX / Diseño</t>
        </is>
      </c>
      <c r="B22">
        <f>COUNTIFS(Roadmap!$B$5:$B$92,A22,Roadmap!$E$5:$E$92,"Hecho")</f>
        <v/>
      </c>
      <c r="C22">
        <f>COUNTIFS(Roadmap!$B$5:$B$92,A22)-B22</f>
        <v/>
      </c>
    </row>
    <row r="23">
      <c r="A23" t="inlineStr">
        <is>
          <t>Negocio SaaS</t>
        </is>
      </c>
      <c r="B23">
        <f>COUNTIFS(Roadmap!$B$5:$B$92,A23,Roadmap!$E$5:$E$92,"Hecho")</f>
        <v/>
      </c>
      <c r="C23">
        <f>COUNTIFS(Roadmap!$B$5:$B$92,A23)-B23</f>
        <v/>
      </c>
    </row>
    <row r="24">
      <c r="A24" t="inlineStr">
        <is>
          <t>Lanzamiento (bloqueante)</t>
        </is>
      </c>
      <c r="B24">
        <f>COUNTIFS(Roadmap!$B$5:$B$92,A24,Roadmap!$E$5:$E$92,"Hecho")</f>
        <v/>
      </c>
      <c r="C24">
        <f>COUNTIFS(Roadmap!$B$5:$B$92,A24)-B24</f>
        <v/>
      </c>
    </row>
    <row r="25">
      <c r="A25" t="inlineStr">
        <is>
          <t>Calidad / Seguridad</t>
        </is>
      </c>
      <c r="B25">
        <f>COUNTIFS(Roadmap!$B$5:$B$92,A25,Roadmap!$E$5:$E$92,"Hecho")</f>
        <v/>
      </c>
      <c r="C25">
        <f>COUNTIFS(Roadmap!$B$5:$B$92,A25)-B25</f>
        <v/>
      </c>
    </row>
    <row r="26">
      <c r="A26" t="inlineStr">
        <is>
          <t>Legal / Fiscal</t>
        </is>
      </c>
      <c r="B26">
        <f>COUNTIFS(Roadmap!$B$5:$B$92,A26,Roadmap!$E$5:$E$92,"Hecho")</f>
        <v/>
      </c>
      <c r="C26">
        <f>COUNTIFS(Roadmap!$B$5:$B$92,A26)-B26</f>
        <v/>
      </c>
    </row>
    <row r="27">
      <c r="A27" t="inlineStr">
        <is>
          <t>Infra / Escalado</t>
        </is>
      </c>
      <c r="B27">
        <f>COUNTIFS(Roadmap!$B$5:$B$92,A27,Roadmap!$E$5:$E$92,"Hecho")</f>
        <v/>
      </c>
      <c r="C27">
        <f>COUNTIFS(Roadmap!$B$5:$B$92,A27)-B27</f>
        <v/>
      </c>
    </row>
    <row r="28">
      <c r="A28" t="inlineStr">
        <is>
          <t>Backlog / Ideas</t>
        </is>
      </c>
      <c r="B28">
        <f>COUNTIFS(Roadmap!$B$5:$B$92,A28,Roadmap!$E$5:$E$92,"Hecho")</f>
        <v/>
      </c>
      <c r="C28">
        <f>COUNTIFS(Roadmap!$B$5:$B$92,A28)-B28</f>
        <v/>
      </c>
    </row>
    <row r="29">
      <c r="A29" t="inlineStr">
        <is>
          <t>Versiones / Verticales</t>
        </is>
      </c>
      <c r="B29">
        <f>COUNTIFS(Roadmap!$B$5:$B$92,A29,Roadmap!$E$5:$E$92,"Hecho")</f>
        <v/>
      </c>
      <c r="C29">
        <f>COUNTIFS(Roadmap!$B$5:$B$92,A29)-B29</f>
        <v/>
      </c>
    </row>
    <row r="30">
      <c r="A30" t="inlineStr">
        <is>
          <t>Roadmap v2</t>
        </is>
      </c>
      <c r="B30">
        <f>COUNTIFS(Roadmap!$B$5:$B$92,A30,Roadmap!$E$5:$E$92,"Hecho")</f>
        <v/>
      </c>
      <c r="C30">
        <f>COUNTIFS(Roadmap!$B$5:$B$92,A30)-B30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2026-06-22T03:34:54Z</dcterms:created>
  <dcterms:modified xmlns:dcterms="http://purl.org/dc/terms/" xmlns:xsi="http://www.w3.org/2001/XMLSchema-instance" xsi:type="dcterms:W3CDTF">2026-06-22T03:34:54Z</dcterms:modified>
</cp:coreProperties>
</file>