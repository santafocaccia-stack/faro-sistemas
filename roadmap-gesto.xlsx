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Dark / light toggle</t>
        </is>
      </c>
      <c r="D50" s="4" t="inlineStr">
        <is>
          <t>Baja</t>
        </is>
      </c>
      <c r="E50" s="7" t="inlineStr">
        <is>
          <t>Pendiente</t>
        </is>
      </c>
      <c r="F50" s="6" t="inlineStr"/>
      <c r="G50" s="5" t="inlineStr">
        <is>
          <t>2026-06-21</t>
        </is>
      </c>
    </row>
    <row r="51">
      <c r="A51" s="4" t="n">
        <v>47</v>
      </c>
      <c r="B51" s="5" t="inlineStr">
        <is>
          <t>Negocio SaaS</t>
        </is>
      </c>
      <c r="C51" s="6" t="inlineStr">
        <is>
          <t>4 planes + Mercado Pago preapproval + webhook activación/suspensión</t>
        </is>
      </c>
      <c r="D51" s="4" t="inlineStr">
        <is>
          <t>—</t>
        </is>
      </c>
      <c r="E51" s="7" t="inlineStr">
        <is>
          <t>Hecho</t>
        </is>
      </c>
      <c r="F51" s="6" t="inlineStr">
        <is>
          <t>src/lib/planes.ts</t>
        </is>
      </c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Cobro por transferencia (panel admin + aviso cliente + comprobante por email)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Activación manual 1-click; /admin/suscripciones; emails salen al cargar RESEND_API_KEY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automático MP/Mobbex (CUIT Monotributo + cuenta)</t>
        </is>
      </c>
      <c r="D53" s="4" t="inlineStr">
        <is>
          <t>Alta</t>
        </is>
      </c>
      <c r="E53" s="7" t="inlineStr">
        <is>
          <t>En progreso</t>
        </is>
      </c>
      <c r="F53" s="6" t="inlineStr">
        <is>
          <t>Bloqueado: falta CUIT + cuenta. Mientras tanto se cobra por transferencia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Panel super-admin (gestionar tenants, métricas cross-tenant)</t>
        </is>
      </c>
      <c r="D54" s="4" t="inlineStr">
        <is>
          <t>Media</t>
        </is>
      </c>
      <c r="E54" s="7" t="inlineStr">
        <is>
          <t>En progreso</t>
        </is>
      </c>
      <c r="F54" s="6" t="inlineStr">
        <is>
          <t>Panel /admin/suscripciones operativo; faltan métricas cross-tenant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Catálogo global cross-tenant</t>
        </is>
      </c>
      <c r="D55" s="4" t="inlineStr">
        <is>
          <t>Baja</t>
        </is>
      </c>
      <c r="E55" s="7" t="inlineStr">
        <is>
          <t>Pendiente</t>
        </is>
      </c>
      <c r="F55" s="6" t="inlineStr">
        <is>
          <t>Necesita OK explícito antes de implementar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Lanzamiento (bloqueante)</t>
        </is>
      </c>
      <c r="C56" s="6" t="inlineStr">
        <is>
          <t>Dominio propio (ej: usegesto.app)</t>
        </is>
      </c>
      <c r="D56" s="4" t="inlineStr">
        <is>
          <t>Alta</t>
        </is>
      </c>
      <c r="E56" s="7" t="inlineStr">
        <is>
          <t>Pendiente</t>
        </is>
      </c>
      <c r="F56" s="6" t="inlineStr">
        <is>
          <t>URL actual no es presentable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SMTP con Resend (invitación, bienvenida, reset con branding)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Cron listo; falta RESEND_API_KEY en Vercel (rotar la vieja)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Landing page pública (adaptativa por versión + demo en vivo)</t>
        </is>
      </c>
      <c r="D58" s="4" t="inlineStr">
        <is>
          <t>Alta</t>
        </is>
      </c>
      <c r="E58" s="7" t="inlineStr">
        <is>
          <t>Hecho</t>
        </is>
      </c>
      <c r="F58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PWA manifest + iconos (192/512, apple-touch-icon)</t>
        </is>
      </c>
      <c r="D59" s="4" t="inlineStr">
        <is>
          <t>Alta</t>
        </is>
      </c>
      <c r="E59" s="7" t="inlineStr">
        <is>
          <t>Pendiente</t>
        </is>
      </c>
      <c r="F59" s="6" t="inlineStr">
        <is>
          <t>POS se usa en tablet/celular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Términos de servicio + Política de privacidad</t>
        </is>
      </c>
      <c r="D60" s="4" t="inlineStr">
        <is>
          <t>Alta</t>
        </is>
      </c>
      <c r="E60" s="7" t="inlineStr">
        <is>
          <t>Hecho</t>
        </is>
      </c>
      <c r="F60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Calidad / Seguridad</t>
        </is>
      </c>
      <c r="C61" s="6" t="inlineStr">
        <is>
          <t>Bugs críticos corregidos (stock al vender, numeración, loop /planes)</t>
        </is>
      </c>
      <c r="D61" s="4" t="inlineStr">
        <is>
          <t>—</t>
        </is>
      </c>
      <c r="E61" s="7" t="inlineStr">
        <is>
          <t>Hecho</t>
        </is>
      </c>
      <c r="F61" s="6" t="inlineStr"/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ConfirmDialog reutilizable (reemplaza window.confirm en 9 comp.)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Verificar firma de webhook MP</t>
        </is>
      </c>
      <c r="D63" s="4" t="inlineStr">
        <is>
          <t>—</t>
        </is>
      </c>
      <c r="E63" s="7" t="inlineStr">
        <is>
          <t>Hecho</t>
        </is>
      </c>
      <c r="F63" s="6" t="inlineStr">
        <is>
          <t>Firma HMAC timing-safe + fail-closed en prod; cargar MP_WEBHOOK_SECRET en Vercel</t>
        </is>
      </c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Auditoría de seguridad E2E + fixes (IDOR token MP, recibirPedido, escalación de rol, OAuth state, crons fail-closed, escape de emails)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Guard test anti-omisión de byTenant; ver project_gesto_seguridad. RLS no protege capa app (byTenant única defensa)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Rate limiting en auth (login/signup)</t>
        </is>
      </c>
      <c r="D65" s="4" t="inlineStr">
        <is>
          <t>Media</t>
        </is>
      </c>
      <c r="E65" s="7" t="inlineStr">
        <is>
          <t>Pendiente</t>
        </is>
      </c>
      <c r="F65" s="6" t="inlineStr">
        <is>
          <t>ej: @upstash/ratelimit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Tests de integración (flows de venta y producto)</t>
        </is>
      </c>
      <c r="D66" s="4" t="inlineStr">
        <is>
          <t>Media</t>
        </is>
      </c>
      <c r="E66" s="7" t="inlineStr">
        <is>
          <t>Pendiente</t>
        </is>
      </c>
      <c r="F66" s="6" t="inlineStr"/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Export de datos (CSV ventas / inventario)</t>
        </is>
      </c>
      <c r="D67" s="4" t="inlineStr">
        <is>
          <t>Media</t>
        </is>
      </c>
      <c r="E67" s="7" t="inlineStr">
        <is>
          <t>Pendiente</t>
        </is>
      </c>
      <c r="F67" s="6" t="inlineStr">
        <is>
          <t>Que el cliente no sienta lock-in</t>
        </is>
      </c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Facturación AFIP (Tusfacturas.app, A/B)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Bloqueante segmento servicios/mayorista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Historial de auditoría básico (quién creó/modificó)</t>
        </is>
      </c>
      <c r="D69" s="4" t="inlineStr">
        <is>
          <t>Baja</t>
        </is>
      </c>
      <c r="E69" s="7" t="inlineStr">
        <is>
          <t>Pendiente</t>
        </is>
      </c>
      <c r="F69" s="6" t="inlineStr">
        <is>
          <t>Mínimo en productos y ventas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Legal / Fiscal</t>
        </is>
      </c>
      <c r="C70" s="6" t="inlineStr">
        <is>
          <t>CUIT + Monotributo (o Responsable Inscripto)</t>
        </is>
      </c>
      <c r="D70" s="4" t="inlineStr">
        <is>
          <t>Alta</t>
        </is>
      </c>
      <c r="E70" s="7" t="inlineStr">
        <is>
          <t>Pendiente</t>
        </is>
      </c>
      <c r="F70" s="6" t="inlineStr">
        <is>
          <t>Bloquea cobrar en regla; ojo el tope anual de Monotributo con ingresos SaaS recurrentes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Registro de bases de datos ante la AAIP (Ley 25.326)</t>
        </is>
      </c>
      <c r="D71" s="4" t="inlineStr">
        <is>
          <t>Media</t>
        </is>
      </c>
      <c r="E71" s="7" t="inlineStr">
        <is>
          <t>Pendiente</t>
        </is>
      </c>
      <c r="F71" s="6" t="inlineStr">
        <is>
          <t>Sos responsable de la PII de los clientes y de SUS clientes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Botón de baja + arrepentimiento de suscripción (Res. 424/2020)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Cancelación online fácil y visible; ya existe cancelarSuscripcion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Cláusulas de transferencia internacional de datos</t>
        </is>
      </c>
      <c r="D73" s="4" t="inlineStr">
        <is>
          <t>Baja</t>
        </is>
      </c>
      <c r="E73" s="7" t="inlineStr">
        <is>
          <t>Pendiente</t>
        </is>
      </c>
      <c r="F73" s="6" t="inlineStr">
        <is>
          <t>Datos en AWS us-east-1; Ley 25.326 exige resguardos (EE.UU. no es país adecuado por defecto)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Estructura societaria (SAS) + acuerdo escrito con socio</t>
        </is>
      </c>
      <c r="D74" s="4" t="inlineStr">
        <is>
          <t>Media</t>
        </is>
      </c>
      <c r="E74" s="7" t="inlineStr">
        <is>
          <t>Pendiente</t>
        </is>
      </c>
      <c r="F74" s="6" t="inlineStr">
        <is>
          <t>Separa patrimonio del riesgo; formaliza la participación de Facu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Contrato de servicio / SLA con clientes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Dueño de los datos (el cliente), uptime, soporte, límite de responsabilidad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Infra / Escalado</t>
        </is>
      </c>
      <c r="C76" s="6" t="inlineStr">
        <is>
          <t>Vercel Pro + Supabase Pro</t>
        </is>
      </c>
      <c r="D76" s="4" t="inlineStr">
        <is>
          <t>Alta</t>
        </is>
      </c>
      <c r="E76" s="7" t="inlineStr">
        <is>
          <t>Pendiente</t>
        </is>
      </c>
      <c r="F76" s="6" t="inlineStr">
        <is>
          <t>Vercel Hobby es no comercial; Supabase Free se pausa a los 7 días. Bloquea producción real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Backups diarios + PITR + probar un restore</t>
        </is>
      </c>
      <c r="D77" s="4" t="inlineStr">
        <is>
          <t>Media</t>
        </is>
      </c>
      <c r="E77" s="7" t="inlineStr">
        <is>
          <t>Pendiente</t>
        </is>
      </c>
      <c r="F77" s="6" t="inlineStr">
        <is>
          <t>Un backup sin restore probado no es un backup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Monitoreo: activar Sentry + uptime check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SENTRY_DSN ya está en el build, falta activarlo + un cron canario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Email deliverability: dominio + SPF/DKIM/DMARC (Resend)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Si no, comprobantes y facturas caen en spam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Encriptar tokens MP del negocio at-rest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Hoy en texto plano en tenants (hallazgo de seguridad #9)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Backlog / Ideas</t>
        </is>
      </c>
      <c r="C81" s="6" t="inlineStr">
        <is>
          <t>Consultor de precios para cliente final (pantalla pública con QR)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Diferenciador único; ruta /p/[tenantSlug]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Versiones / Verticales</t>
        </is>
      </c>
      <c r="C82" s="6" t="inlineStr">
        <is>
          <t>Mejorar login/registro: sumarle contenido útil (hoy se siente vacío)</t>
        </is>
      </c>
      <c r="D82" s="4" t="inlineStr">
        <is>
          <t>Media</t>
        </is>
      </c>
      <c r="E82" s="7" t="inlineStr">
        <is>
          <t>En progreso</t>
        </is>
      </c>
      <c r="F82" s="6" t="inlineStr">
        <is>
          <t>Split de marca ya hecho; falta valor real que sume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Gesto Balanza funcional: integración con balanza digital + venta por peso</t>
        </is>
      </c>
      <c r="D83" s="4" t="inlineStr">
        <is>
          <t>Alta</t>
        </is>
      </c>
      <c r="E83" s="7" t="inlineStr">
        <is>
          <t>Pendiente</t>
        </is>
      </c>
      <c r="F83" s="6" t="inlineStr">
        <is>
          <t>Hoy figura 'próximamente'; armarla de verdad para que funcione con balanzas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Food: POS propio (comandas, mesas, cocina/KDS) — muy distinto a Market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Servicios: emitir boletas además de presupuestos + simplificar botones/UI</t>
        </is>
      </c>
      <c r="D85" s="4" t="inlineStr">
        <is>
          <t>Alta</t>
        </is>
      </c>
      <c r="E85" s="7" t="inlineStr">
        <is>
          <t>Hecho</t>
        </is>
      </c>
      <c r="F85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Pendiente menor: botón 'Emitir recibo' desde un presupuesto ya cobrado + seguir puliendo UI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Atmosféricos: historial, agenda y pedidos para días futuros + arreglar ruta en Maps</t>
        </is>
      </c>
      <c r="D86" s="4" t="inlineStr">
        <is>
          <t>Alta</t>
        </is>
      </c>
      <c r="E86" s="7" t="inlineStr">
        <is>
          <t>Pendiente</t>
        </is>
      </c>
      <c r="F86" s="6" t="inlineStr">
        <is>
          <t>La función de Maps no toma bien las direcciones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Roadmap v2</t>
        </is>
      </c>
      <c r="C87" s="6" t="inlineStr">
        <is>
          <t>Modificadores por ítem en POS (extras, variantes)</t>
        </is>
      </c>
      <c r="D87" s="4" t="inlineStr">
        <is>
          <t>Baja</t>
        </is>
      </c>
      <c r="E87" s="7" t="inlineStr">
        <is>
          <t>Pendiente</t>
        </is>
      </c>
      <c r="F87" s="6" t="inlineStr"/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App mobile nativa con Capacitor (offline first)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Notificaciones push (stock, pedidos)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Dashboard financiero avanzado (márgenes, rentabilidad)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Multi-sucursal (varios locales bajo una cuenta madre)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</sheetData>
  <autoFilter ref="A4:G91"/>
  <mergeCells count="2">
    <mergeCell ref="A2:G2"/>
    <mergeCell ref="A1:G1"/>
  </mergeCells>
  <conditionalFormatting sqref="A5:G91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1" showDropDown="0" showInputMessage="0" showErrorMessage="0" allowBlank="0" type="list">
      <formula1>"Hecho,En progreso,Pendiente"</formula1>
    </dataValidation>
    <dataValidation sqref="D5:D91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COUNTIF(Roadmap!$E$5:$E$91,A4)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COUNTIF(Roadmap!$E$5:$E$91,A5)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COUNTIF(Roadmap!$E$5:$E$91,A6)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COUNTA(Roadmap!$E$5:$E$91)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COUNTIFS(Roadmap!$B$5:$B$91,A11,Roadmap!$E$5:$E$91,"Hecho")</f>
        <v/>
      </c>
      <c r="C11">
        <f>COUNTIFS(Roadmap!$B$5:$B$91,A11)-B11</f>
        <v/>
      </c>
    </row>
    <row r="12">
      <c r="A12" t="inlineStr">
        <is>
          <t>Base de datos</t>
        </is>
      </c>
      <c r="B12">
        <f>COUNTIFS(Roadmap!$B$5:$B$91,A12,Roadmap!$E$5:$E$91,"Hecho")</f>
        <v/>
      </c>
      <c r="C12">
        <f>COUNTIFS(Roadmap!$B$5:$B$91,A12)-B12</f>
        <v/>
      </c>
    </row>
    <row r="13">
      <c r="A13" t="inlineStr">
        <is>
          <t>Auth</t>
        </is>
      </c>
      <c r="B13">
        <f>COUNTIFS(Roadmap!$B$5:$B$91,A13,Roadmap!$E$5:$E$91,"Hecho")</f>
        <v/>
      </c>
      <c r="C13">
        <f>COUNTIFS(Roadmap!$B$5:$B$91,A13)-B13</f>
        <v/>
      </c>
    </row>
    <row r="14">
      <c r="A14" t="inlineStr">
        <is>
          <t>Productos</t>
        </is>
      </c>
      <c r="B14">
        <f>COUNTIFS(Roadmap!$B$5:$B$91,A14,Roadmap!$E$5:$E$91,"Hecho")</f>
        <v/>
      </c>
      <c r="C14">
        <f>COUNTIFS(Roadmap!$B$5:$B$91,A14)-B14</f>
        <v/>
      </c>
    </row>
    <row r="15">
      <c r="A15" t="inlineStr">
        <is>
          <t>Clientes</t>
        </is>
      </c>
      <c r="B15">
        <f>COUNTIFS(Roadmap!$B$5:$B$91,A15,Roadmap!$E$5:$E$91,"Hecho")</f>
        <v/>
      </c>
      <c r="C15">
        <f>COUNTIFS(Roadmap!$B$5:$B$91,A15)-B15</f>
        <v/>
      </c>
    </row>
    <row r="16">
      <c r="A16" t="inlineStr">
        <is>
          <t>Ventas / POS</t>
        </is>
      </c>
      <c r="B16">
        <f>COUNTIFS(Roadmap!$B$5:$B$91,A16,Roadmap!$E$5:$E$91,"Hecho")</f>
        <v/>
      </c>
      <c r="C16">
        <f>COUNTIFS(Roadmap!$B$5:$B$91,A16)-B16</f>
        <v/>
      </c>
    </row>
    <row r="17">
      <c r="A17" t="inlineStr">
        <is>
          <t>Cuenta Corriente</t>
        </is>
      </c>
      <c r="B17">
        <f>COUNTIFS(Roadmap!$B$5:$B$91,A17,Roadmap!$E$5:$E$91,"Hecho")</f>
        <v/>
      </c>
      <c r="C17">
        <f>COUNTIFS(Roadmap!$B$5:$B$91,A17)-B17</f>
        <v/>
      </c>
    </row>
    <row r="18">
      <c r="A18" t="inlineStr">
        <is>
          <t>Reportes</t>
        </is>
      </c>
      <c r="B18">
        <f>COUNTIFS(Roadmap!$B$5:$B$91,A18,Roadmap!$E$5:$E$91,"Hecho")</f>
        <v/>
      </c>
      <c r="C18">
        <f>COUNTIFS(Roadmap!$B$5:$B$91,A18)-B18</f>
        <v/>
      </c>
    </row>
    <row r="19">
      <c r="A19" t="inlineStr">
        <is>
          <t>Presupuestos</t>
        </is>
      </c>
      <c r="B19">
        <f>COUNTIFS(Roadmap!$B$5:$B$91,A19,Roadmap!$E$5:$E$91,"Hecho")</f>
        <v/>
      </c>
      <c r="C19">
        <f>COUNTIFS(Roadmap!$B$5:$B$91,A19)-B19</f>
        <v/>
      </c>
    </row>
    <row r="20">
      <c r="A20" t="inlineStr">
        <is>
          <t>Proveedores / Pedidos</t>
        </is>
      </c>
      <c r="B20">
        <f>COUNTIFS(Roadmap!$B$5:$B$91,A20,Roadmap!$E$5:$E$91,"Hecho")</f>
        <v/>
      </c>
      <c r="C20">
        <f>COUNTIFS(Roadmap!$B$5:$B$91,A20)-B20</f>
        <v/>
      </c>
    </row>
    <row r="21">
      <c r="A21" t="inlineStr">
        <is>
          <t>Configuración / Equipo</t>
        </is>
      </c>
      <c r="B21">
        <f>COUNTIFS(Roadmap!$B$5:$B$91,A21,Roadmap!$E$5:$E$91,"Hecho")</f>
        <v/>
      </c>
      <c r="C21">
        <f>COUNTIFS(Roadmap!$B$5:$B$91,A21)-B21</f>
        <v/>
      </c>
    </row>
    <row r="22">
      <c r="A22" t="inlineStr">
        <is>
          <t>UX / Diseño</t>
        </is>
      </c>
      <c r="B22">
        <f>COUNTIFS(Roadmap!$B$5:$B$91,A22,Roadmap!$E$5:$E$91,"Hecho")</f>
        <v/>
      </c>
      <c r="C22">
        <f>COUNTIFS(Roadmap!$B$5:$B$91,A22)-B22</f>
        <v/>
      </c>
    </row>
    <row r="23">
      <c r="A23" t="inlineStr">
        <is>
          <t>Negocio SaaS</t>
        </is>
      </c>
      <c r="B23">
        <f>COUNTIFS(Roadmap!$B$5:$B$91,A23,Roadmap!$E$5:$E$91,"Hecho")</f>
        <v/>
      </c>
      <c r="C23">
        <f>COUNTIFS(Roadmap!$B$5:$B$91,A23)-B23</f>
        <v/>
      </c>
    </row>
    <row r="24">
      <c r="A24" t="inlineStr">
        <is>
          <t>Lanzamiento (bloqueante)</t>
        </is>
      </c>
      <c r="B24">
        <f>COUNTIFS(Roadmap!$B$5:$B$91,A24,Roadmap!$E$5:$E$91,"Hecho")</f>
        <v/>
      </c>
      <c r="C24">
        <f>COUNTIFS(Roadmap!$B$5:$B$91,A24)-B24</f>
        <v/>
      </c>
    </row>
    <row r="25">
      <c r="A25" t="inlineStr">
        <is>
          <t>Calidad / Seguridad</t>
        </is>
      </c>
      <c r="B25">
        <f>COUNTIFS(Roadmap!$B$5:$B$91,A25,Roadmap!$E$5:$E$91,"Hecho")</f>
        <v/>
      </c>
      <c r="C25">
        <f>COUNTIFS(Roadmap!$B$5:$B$91,A25)-B25</f>
        <v/>
      </c>
    </row>
    <row r="26">
      <c r="A26" t="inlineStr">
        <is>
          <t>Legal / Fiscal</t>
        </is>
      </c>
      <c r="B26">
        <f>COUNTIFS(Roadmap!$B$5:$B$91,A26,Roadmap!$E$5:$E$91,"Hecho")</f>
        <v/>
      </c>
      <c r="C26">
        <f>COUNTIFS(Roadmap!$B$5:$B$91,A26)-B26</f>
        <v/>
      </c>
    </row>
    <row r="27">
      <c r="A27" t="inlineStr">
        <is>
          <t>Infra / Escalado</t>
        </is>
      </c>
      <c r="B27">
        <f>COUNTIFS(Roadmap!$B$5:$B$91,A27,Roadmap!$E$5:$E$91,"Hecho")</f>
        <v/>
      </c>
      <c r="C27">
        <f>COUNTIFS(Roadmap!$B$5:$B$91,A27)-B27</f>
        <v/>
      </c>
    </row>
    <row r="28">
      <c r="A28" t="inlineStr">
        <is>
          <t>Backlog / Ideas</t>
        </is>
      </c>
      <c r="B28">
        <f>COUNTIFS(Roadmap!$B$5:$B$91,A28,Roadmap!$E$5:$E$91,"Hecho")</f>
        <v/>
      </c>
      <c r="C28">
        <f>COUNTIFS(Roadmap!$B$5:$B$91,A28)-B28</f>
        <v/>
      </c>
    </row>
    <row r="29">
      <c r="A29" t="inlineStr">
        <is>
          <t>Versiones / Verticales</t>
        </is>
      </c>
      <c r="B29">
        <f>COUNTIFS(Roadmap!$B$5:$B$91,A29,Roadmap!$E$5:$E$91,"Hecho")</f>
        <v/>
      </c>
      <c r="C29">
        <f>COUNTIFS(Roadmap!$B$5:$B$91,A29)-B29</f>
        <v/>
      </c>
    </row>
    <row r="30">
      <c r="A30" t="inlineStr">
        <is>
          <t>Roadmap v2</t>
        </is>
      </c>
      <c r="B30">
        <f>COUNTIFS(Roadmap!$B$5:$B$91,A30,Roadmap!$E$5:$E$91,"Hecho")</f>
        <v/>
      </c>
      <c r="C30">
        <f>COUNTIFS(Roadmap!$B$5:$B$91,A30)-B30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2026-06-21T22:59:40Z</dcterms:created>
  <dcterms:modified xmlns:dcterms="http://purl.org/dc/terms/" xmlns:xsi="http://www.w3.org/2001/XMLSchema-instance" xsi:type="dcterms:W3CDTF">2026-06-21T22:59:40Z</dcterms:modified>
</cp:coreProperties>
</file>