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2026-06-22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2026-06-22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2026-06-22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2026-06-22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2026-06-22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2026-06-22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2026-06-22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2026-06-22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2026-06-22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2026-06-22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2026-06-22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2026-06-22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2026-06-22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2026-06-22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2026-06-22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2026-06-22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2026-06-22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2026-06-22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2026-06-22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2026-06-22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2026-06-22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2026-06-22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2026-06-22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2026-06-22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2026-06-22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2026-06-22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2026-06-22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2026-06-22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2026-06-22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2026-06-22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2026-06-22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2026-06-22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2026-06-22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2026-06-22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2026-06-22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2026-06-22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2026-06-22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2026-06-22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2026-06-22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2026-06-22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2026-06-22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2026-06-22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2026-06-22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2026-06-22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2026-06-22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2026-06-22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2026-06-22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2026-06-22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2026-06-22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2026-06-22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2026-06-22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2026-06-22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2026-06-22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2026-06-22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2026-06-22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2026-06-22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2026-06-22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2026-06-22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2026-06-22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2026-06-22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2026-06-22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2026-06-22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2026-06-22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2026-06-22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2026-06-22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2026-06-22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2026-06-22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2026-06-22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2026-06-22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2026-06-22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2026-06-22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2026-06-22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2026-06-22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2026-06-22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2026-06-22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2026-06-22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2026-06-22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2026-06-22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2026-06-22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2026-06-22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Hecho</t>
        </is>
      </c>
      <c r="F84" s="6" t="inlineStr">
        <is>
          <t>POS con venta por peso: modal de gramos (atajos 250/500/1000 g + subtotal en vivo), edición de peso en carrito, y lectura de etiquetas de balanza con peso embebido (EAN-13 prefijo 2 -&gt; PLU + peso). Página /dashboard/balanza con guía de 3 pasos. Plan habilitado (proximamente:false) y nav activo. Pendiente futuro: configurar el formato exacto de etiqueta por marca de balanza</t>
        </is>
      </c>
      <c r="G84" s="5" t="inlineStr">
        <is>
          <t>2026-06-22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2026-06-22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2026-06-22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7" s="5" t="inlineStr">
        <is>
          <t>2026-06-22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2026-06-22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2026-06-22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2026-06-22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2026-06-22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2026-06-22</t>
        </is>
      </c>
    </row>
    <row r="93">
      <c r="A93" s="4" t="n">
        <v>89</v>
      </c>
      <c r="B93" s="5" t="inlineStr">
        <is>
          <t>Marketing / Conversión</t>
        </is>
      </c>
      <c r="C93" s="6" t="inlineStr">
        <is>
          <t>Registro en mini-wizard modal (versión -&gt; cuenta), sin mandar al login frío</t>
        </is>
      </c>
      <c r="D93" s="4" t="inlineStr">
        <is>
          <t>Alta</t>
        </is>
      </c>
      <c r="E93" s="7" t="inlineStr">
        <is>
          <t>Hecho</t>
        </is>
      </c>
      <c r="F93" s="6" t="inlineStr">
        <is>
          <t>Modal in-page (no popup) que abren los CTA 'Empezá gratis'. Paso 1 elegís versión, paso 2 creás cuenta; la versión se hereda al onboarding</t>
        </is>
      </c>
      <c r="G93" s="5" t="inlineStr">
        <is>
          <t>2026-06-22</t>
        </is>
      </c>
    </row>
    <row r="94">
      <c r="A94" s="4" t="n">
        <v>90</v>
      </c>
      <c r="B94" s="5" t="inlineStr">
        <is>
          <t>Marketing / Conversión</t>
        </is>
      </c>
      <c r="C94" s="6" t="inlineStr">
        <is>
          <t>Login con Google (OAuth)</t>
        </is>
      </c>
      <c r="D94" s="4" t="inlineStr">
        <is>
          <t>Alta</t>
        </is>
      </c>
      <c r="E94" s="7" t="inlineStr">
        <is>
          <t>En progreso</t>
        </is>
      </c>
      <c r="F94" s="6" t="inlineStr">
        <is>
          <t>Código cableado en el wizard y disponible. FALTA: habilitar el provider Google en Supabase (Auth -&gt; Providers) con credenciales de Google Cloud Console</t>
        </is>
      </c>
      <c r="G94" s="5" t="inlineStr">
        <is>
          <t>2026-06-22</t>
        </is>
      </c>
    </row>
    <row r="95">
      <c r="A95" s="4" t="n">
        <v>91</v>
      </c>
      <c r="B95" s="5" t="inlineStr">
        <is>
          <t>Marketing / Conversión</t>
        </is>
      </c>
      <c r="C95" s="6" t="inlineStr">
        <is>
          <t>Botón de WhatsApp flotante en la landing</t>
        </is>
      </c>
      <c r="D95" s="4" t="inlineStr">
        <is>
          <t>Alta</t>
        </is>
      </c>
      <c r="E95" s="7" t="inlineStr">
        <is>
          <t>Hecho</t>
        </is>
      </c>
      <c r="F95" s="6" t="inlineStr">
        <is>
          <t>Sugerido por Deepseek y Gemini. Número real cargado (wa.me/5491166644837), mensaje pre-cargado</t>
        </is>
      </c>
      <c r="G95" s="5" t="inlineStr">
        <is>
          <t>2026-06-22</t>
        </is>
      </c>
    </row>
    <row r="96">
      <c r="A96" s="4" t="n">
        <v>92</v>
      </c>
      <c r="B96" s="5" t="inlineStr">
        <is>
          <t>Marketing / Conversión</t>
        </is>
      </c>
      <c r="C96" s="6" t="inlineStr">
        <is>
          <t>Landing pages por vertical (/market, /atmosfericos, /balanza) para pauta en Meta Ads</t>
        </is>
      </c>
      <c r="D96" s="4" t="inlineStr">
        <is>
          <t>Alta</t>
        </is>
      </c>
      <c r="E96" s="7" t="inlineStr">
        <is>
          <t>Pendiente</t>
        </is>
      </c>
      <c r="F96" s="6" t="inlineStr">
        <is>
          <t>Gemini: la página de destino tiene que hablarle solo a ese rubro para no diluir la conversión</t>
        </is>
      </c>
      <c r="G96" s="5" t="inlineStr">
        <is>
          <t>2026-06-22</t>
        </is>
      </c>
    </row>
    <row r="97">
      <c r="A97" s="4" t="n">
        <v>93</v>
      </c>
      <c r="B97" s="5" t="inlineStr">
        <is>
          <t>Marketing / Conversión</t>
        </is>
      </c>
      <c r="C97" s="6" t="inlineStr">
        <is>
          <t>Dominio propio (ej. gesto.com.ar) apuntado en Vercel</t>
        </is>
      </c>
      <c r="D97" s="4" t="inlineStr">
        <is>
          <t>Alta</t>
        </is>
      </c>
      <c r="E97" s="7" t="inlineStr">
        <is>
          <t>Pendiente</t>
        </is>
      </c>
      <c r="F97" s="6" t="inlineStr">
        <is>
          <t>Gemini: faro-sistemas.vercel.app no transmite 'Gesto' y resta confianza</t>
        </is>
      </c>
      <c r="G97" s="5" t="inlineStr">
        <is>
          <t>2026-06-22</t>
        </is>
      </c>
    </row>
    <row r="98">
      <c r="A98" s="4" t="n">
        <v>94</v>
      </c>
      <c r="B98" s="5" t="inlineStr">
        <is>
          <t>Marketing / Conversión</t>
        </is>
      </c>
      <c r="C98" s="6" t="inlineStr">
        <is>
          <t>Nav de la landing con Versiones y Ayuda (hoy solo Precios)</t>
        </is>
      </c>
      <c r="D98" s="4" t="inlineStr">
        <is>
          <t>Media</t>
        </is>
      </c>
      <c r="E98" s="7" t="inlineStr">
        <is>
          <t>Pendiente</t>
        </is>
      </c>
      <c r="F98" s="6" t="inlineStr">
        <is>
          <t>Deepseek</t>
        </is>
      </c>
      <c r="G98" s="5" t="inlineStr">
        <is>
          <t>2026-06-22</t>
        </is>
      </c>
    </row>
    <row r="99">
      <c r="A99" s="4" t="n">
        <v>95</v>
      </c>
      <c r="B99" s="5" t="inlineStr">
        <is>
          <t>Marketing / Conversión</t>
        </is>
      </c>
      <c r="C99" s="6" t="inlineStr">
        <is>
          <t>Sello 'datos encriptados' + destacar '14 días sin tarjeta' como badge</t>
        </is>
      </c>
      <c r="D99" s="4" t="inlineStr">
        <is>
          <t>Media</t>
        </is>
      </c>
      <c r="E99" s="7" t="inlineStr">
        <is>
          <t>Pendiente</t>
        </is>
      </c>
      <c r="F99" s="6" t="inlineStr">
        <is>
          <t>Deepseek: confianza sin necesitar testimonios</t>
        </is>
      </c>
      <c r="G99" s="5" t="inlineStr">
        <is>
          <t>2026-06-22</t>
        </is>
      </c>
    </row>
    <row r="100">
      <c r="A100" s="4" t="n">
        <v>96</v>
      </c>
      <c r="B100" s="5" t="inlineStr">
        <is>
          <t>Marketing / Conversión</t>
        </is>
      </c>
      <c r="C100" s="6" t="inlineStr">
        <is>
          <t>Testimonios / casos de éxito</t>
        </is>
      </c>
      <c r="D100" s="4" t="inlineStr">
        <is>
          <t>Media</t>
        </is>
      </c>
      <c r="E100" s="7" t="inlineStr">
        <is>
          <t>Pendiente</t>
        </is>
      </c>
      <c r="F100" s="6" t="inlineStr">
        <is>
          <t>Dejar el espacio diseñado y llenarlo con los primeros clientes reales (no inventar)</t>
        </is>
      </c>
      <c r="G100" s="5" t="inlineStr">
        <is>
          <t>2026-06-22</t>
        </is>
      </c>
    </row>
    <row r="101">
      <c r="A101" s="4" t="n">
        <v>97</v>
      </c>
      <c r="B101" s="5" t="inlineStr">
        <is>
          <t>Marketing / Conversión</t>
        </is>
      </c>
      <c r="C101" s="6" t="inlineStr">
        <is>
          <t>Decidir precio en ARS prominente y USD como referencia</t>
        </is>
      </c>
      <c r="D101" s="4" t="inlineStr">
        <is>
          <t>Media</t>
        </is>
      </c>
      <c r="E101" s="7" t="inlineStr">
        <is>
          <t>Pendiente</t>
        </is>
      </c>
      <c r="F101" s="6" t="inlineStr">
        <is>
          <t>Deepseek; toca la decisión de negocio de cobro al MEP en USD</t>
        </is>
      </c>
      <c r="G101" s="5" t="inlineStr">
        <is>
          <t>2026-06-22</t>
        </is>
      </c>
    </row>
  </sheetData>
  <autoFilter ref="A4:G101"/>
  <mergeCells count="2">
    <mergeCell ref="A2:G2"/>
    <mergeCell ref="A1:G1"/>
  </mergeCells>
  <conditionalFormatting sqref="A5:G101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101" showDropDown="0" showInputMessage="0" showErrorMessage="0" allowBlank="0" type="list">
      <formula1>"Hecho,En progreso,Pendiente"</formula1>
    </dataValidation>
    <dataValidation sqref="D5:D101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COUNTIF(Roadmap!$E$5:$E$101,A4)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COUNTIF(Roadmap!$E$5:$E$101,A5)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COUNTIF(Roadmap!$E$5:$E$101,A6)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COUNTA(Roadmap!$E$5:$E$101)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COUNTIFS(Roadmap!$B$5:$B$101,A11,Roadmap!$E$5:$E$101,"Hecho")</f>
        <v/>
      </c>
      <c r="C11">
        <f>COUNTIFS(Roadmap!$B$5:$B$101,A11)-B11</f>
        <v/>
      </c>
    </row>
    <row r="12">
      <c r="A12" t="inlineStr">
        <is>
          <t>Base de datos</t>
        </is>
      </c>
      <c r="B12">
        <f>COUNTIFS(Roadmap!$B$5:$B$101,A12,Roadmap!$E$5:$E$101,"Hecho")</f>
        <v/>
      </c>
      <c r="C12">
        <f>COUNTIFS(Roadmap!$B$5:$B$101,A12)-B12</f>
        <v/>
      </c>
    </row>
    <row r="13">
      <c r="A13" t="inlineStr">
        <is>
          <t>Auth</t>
        </is>
      </c>
      <c r="B13">
        <f>COUNTIFS(Roadmap!$B$5:$B$101,A13,Roadmap!$E$5:$E$101,"Hecho")</f>
        <v/>
      </c>
      <c r="C13">
        <f>COUNTIFS(Roadmap!$B$5:$B$101,A13)-B13</f>
        <v/>
      </c>
    </row>
    <row r="14">
      <c r="A14" t="inlineStr">
        <is>
          <t>Productos</t>
        </is>
      </c>
      <c r="B14">
        <f>COUNTIFS(Roadmap!$B$5:$B$101,A14,Roadmap!$E$5:$E$101,"Hecho")</f>
        <v/>
      </c>
      <c r="C14">
        <f>COUNTIFS(Roadmap!$B$5:$B$101,A14)-B14</f>
        <v/>
      </c>
    </row>
    <row r="15">
      <c r="A15" t="inlineStr">
        <is>
          <t>Clientes</t>
        </is>
      </c>
      <c r="B15">
        <f>COUNTIFS(Roadmap!$B$5:$B$101,A15,Roadmap!$E$5:$E$101,"Hecho")</f>
        <v/>
      </c>
      <c r="C15">
        <f>COUNTIFS(Roadmap!$B$5:$B$101,A15)-B15</f>
        <v/>
      </c>
    </row>
    <row r="16">
      <c r="A16" t="inlineStr">
        <is>
          <t>Ventas / POS</t>
        </is>
      </c>
      <c r="B16">
        <f>COUNTIFS(Roadmap!$B$5:$B$101,A16,Roadmap!$E$5:$E$101,"Hecho")</f>
        <v/>
      </c>
      <c r="C16">
        <f>COUNTIFS(Roadmap!$B$5:$B$101,A16)-B16</f>
        <v/>
      </c>
    </row>
    <row r="17">
      <c r="A17" t="inlineStr">
        <is>
          <t>Cuenta Corriente</t>
        </is>
      </c>
      <c r="B17">
        <f>COUNTIFS(Roadmap!$B$5:$B$101,A17,Roadmap!$E$5:$E$101,"Hecho")</f>
        <v/>
      </c>
      <c r="C17">
        <f>COUNTIFS(Roadmap!$B$5:$B$101,A17)-B17</f>
        <v/>
      </c>
    </row>
    <row r="18">
      <c r="A18" t="inlineStr">
        <is>
          <t>Reportes</t>
        </is>
      </c>
      <c r="B18">
        <f>COUNTIFS(Roadmap!$B$5:$B$101,A18,Roadmap!$E$5:$E$101,"Hecho")</f>
        <v/>
      </c>
      <c r="C18">
        <f>COUNTIFS(Roadmap!$B$5:$B$101,A18)-B18</f>
        <v/>
      </c>
    </row>
    <row r="19">
      <c r="A19" t="inlineStr">
        <is>
          <t>Presupuestos</t>
        </is>
      </c>
      <c r="B19">
        <f>COUNTIFS(Roadmap!$B$5:$B$101,A19,Roadmap!$E$5:$E$101,"Hecho")</f>
        <v/>
      </c>
      <c r="C19">
        <f>COUNTIFS(Roadmap!$B$5:$B$101,A19)-B19</f>
        <v/>
      </c>
    </row>
    <row r="20">
      <c r="A20" t="inlineStr">
        <is>
          <t>Proveedores / Pedidos</t>
        </is>
      </c>
      <c r="B20">
        <f>COUNTIFS(Roadmap!$B$5:$B$101,A20,Roadmap!$E$5:$E$101,"Hecho")</f>
        <v/>
      </c>
      <c r="C20">
        <f>COUNTIFS(Roadmap!$B$5:$B$101,A20)-B20</f>
        <v/>
      </c>
    </row>
    <row r="21">
      <c r="A21" t="inlineStr">
        <is>
          <t>Configuración / Equipo</t>
        </is>
      </c>
      <c r="B21">
        <f>COUNTIFS(Roadmap!$B$5:$B$101,A21,Roadmap!$E$5:$E$101,"Hecho")</f>
        <v/>
      </c>
      <c r="C21">
        <f>COUNTIFS(Roadmap!$B$5:$B$101,A21)-B21</f>
        <v/>
      </c>
    </row>
    <row r="22">
      <c r="A22" t="inlineStr">
        <is>
          <t>UX / Diseño</t>
        </is>
      </c>
      <c r="B22">
        <f>COUNTIFS(Roadmap!$B$5:$B$101,A22,Roadmap!$E$5:$E$101,"Hecho")</f>
        <v/>
      </c>
      <c r="C22">
        <f>COUNTIFS(Roadmap!$B$5:$B$101,A22)-B22</f>
        <v/>
      </c>
    </row>
    <row r="23">
      <c r="A23" t="inlineStr">
        <is>
          <t>Negocio SaaS</t>
        </is>
      </c>
      <c r="B23">
        <f>COUNTIFS(Roadmap!$B$5:$B$101,A23,Roadmap!$E$5:$E$101,"Hecho")</f>
        <v/>
      </c>
      <c r="C23">
        <f>COUNTIFS(Roadmap!$B$5:$B$101,A23)-B23</f>
        <v/>
      </c>
    </row>
    <row r="24">
      <c r="A24" t="inlineStr">
        <is>
          <t>Lanzamiento (bloqueante)</t>
        </is>
      </c>
      <c r="B24">
        <f>COUNTIFS(Roadmap!$B$5:$B$101,A24,Roadmap!$E$5:$E$101,"Hecho")</f>
        <v/>
      </c>
      <c r="C24">
        <f>COUNTIFS(Roadmap!$B$5:$B$101,A24)-B24</f>
        <v/>
      </c>
    </row>
    <row r="25">
      <c r="A25" t="inlineStr">
        <is>
          <t>Calidad / Seguridad</t>
        </is>
      </c>
      <c r="B25">
        <f>COUNTIFS(Roadmap!$B$5:$B$101,A25,Roadmap!$E$5:$E$101,"Hecho")</f>
        <v/>
      </c>
      <c r="C25">
        <f>COUNTIFS(Roadmap!$B$5:$B$101,A25)-B25</f>
        <v/>
      </c>
    </row>
    <row r="26">
      <c r="A26" t="inlineStr">
        <is>
          <t>Legal / Fiscal</t>
        </is>
      </c>
      <c r="B26">
        <f>COUNTIFS(Roadmap!$B$5:$B$101,A26,Roadmap!$E$5:$E$101,"Hecho")</f>
        <v/>
      </c>
      <c r="C26">
        <f>COUNTIFS(Roadmap!$B$5:$B$101,A26)-B26</f>
        <v/>
      </c>
    </row>
    <row r="27">
      <c r="A27" t="inlineStr">
        <is>
          <t>Infra / Escalado</t>
        </is>
      </c>
      <c r="B27">
        <f>COUNTIFS(Roadmap!$B$5:$B$101,A27,Roadmap!$E$5:$E$101,"Hecho")</f>
        <v/>
      </c>
      <c r="C27">
        <f>COUNTIFS(Roadmap!$B$5:$B$101,A27)-B27</f>
        <v/>
      </c>
    </row>
    <row r="28">
      <c r="A28" t="inlineStr">
        <is>
          <t>Backlog / Ideas</t>
        </is>
      </c>
      <c r="B28">
        <f>COUNTIFS(Roadmap!$B$5:$B$101,A28,Roadmap!$E$5:$E$101,"Hecho")</f>
        <v/>
      </c>
      <c r="C28">
        <f>COUNTIFS(Roadmap!$B$5:$B$101,A28)-B28</f>
        <v/>
      </c>
    </row>
    <row r="29">
      <c r="A29" t="inlineStr">
        <is>
          <t>Versiones / Verticales</t>
        </is>
      </c>
      <c r="B29">
        <f>COUNTIFS(Roadmap!$B$5:$B$101,A29,Roadmap!$E$5:$E$101,"Hecho")</f>
        <v/>
      </c>
      <c r="C29">
        <f>COUNTIFS(Roadmap!$B$5:$B$101,A29)-B29</f>
        <v/>
      </c>
    </row>
    <row r="30">
      <c r="A30" t="inlineStr">
        <is>
          <t>Roadmap v2</t>
        </is>
      </c>
      <c r="B30">
        <f>COUNTIFS(Roadmap!$B$5:$B$101,A30,Roadmap!$E$5:$E$101,"Hecho")</f>
        <v/>
      </c>
      <c r="C30">
        <f>COUNTIFS(Roadmap!$B$5:$B$101,A30)-B30</f>
        <v/>
      </c>
    </row>
    <row r="31">
      <c r="A31" t="inlineStr">
        <is>
          <t>Marketing / Conversión</t>
        </is>
      </c>
      <c r="B31">
        <f>COUNTIFS(Roadmap!$B$5:$B$101,A31,Roadmap!$E$5:$E$101,"Hecho")</f>
        <v/>
      </c>
      <c r="C31">
        <f>COUNTIFS(Roadmap!$B$5:$B$101,A31)-B31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2026-06-22T15:46:43Z</dcterms:created>
  <dcterms:modified xmlns:dcterms="http://purl.org/dc/terms/" xmlns:xsi="http://www.w3.org/2001/XMLSchema-instance" xsi:type="dcterms:W3CDTF">2026-06-22T15:46:43Z</dcterms:modified>
</cp:coreProperties>
</file>